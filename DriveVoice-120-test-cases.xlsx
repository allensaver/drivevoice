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用例总表" sheetId="1" state="visible" r:id="rId1"/>
    <sheet xmlns:r="http://schemas.openxmlformats.org/officeDocument/2006/relationships" name="评分说明" sheetId="2" state="visible" r:id="rId2"/>
  </sheets>
  <definedNames>
    <definedName name="_xlnm._FilterDatabase" localSheetId="0" hidden="1">'评测用例总表'!$A$4:$L$124</definedName>
    <definedName name="_xlnm.Print_Titles" localSheetId="0">'评测用例总表'!$1:$4</definedName>
    <definedName name="_xlnm.Print_Titles" localSheetId="1">'评分说明'!$1:$2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333333"/>
      <sz val="10"/>
    </font>
    <font>
      <name val="Microsoft YaHei"/>
      <b val="1"/>
      <color rgb="002F5597"/>
      <sz val="10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0"/>
    </font>
    <font>
      <name val="Microsoft YaHei"/>
      <b val="1"/>
      <color rgb="00FFFFFF"/>
      <sz val="14"/>
    </font>
    <font>
      <name val="Microsoft YaHei"/>
      <color rgb="00C00000"/>
      <sz val="10"/>
    </font>
    <font>
      <name val="Microsoft YaHei"/>
      <i val="1"/>
      <color rgb="00666666"/>
      <sz val="9"/>
    </font>
  </fonts>
  <fills count="10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DAEF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9" fillId="0" borderId="0" pivotButton="0" quotePrefix="0" xfId="0"/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6" customWidth="1" min="3" max="3"/>
    <col width="34" customWidth="1" min="4" max="4"/>
    <col width="24" customWidth="1" min="5" max="5"/>
    <col width="34" customWidth="1" min="6" max="6"/>
    <col width="30" customWidth="1" min="7" max="7"/>
    <col width="26" customWidth="1" min="8" max="8"/>
    <col width="13" customWidth="1" min="9" max="9"/>
    <col width="12" customWidth="1" min="10" max="10"/>
    <col width="15" customWidth="1" min="11" max="11"/>
    <col width="22" customWidth="1" min="12" max="12"/>
  </cols>
  <sheetData>
    <row r="1" ht="30" customHeight="1">
      <c r="A1" s="1" t="inlineStr">
        <is>
          <t>DriveVoice 120条车载语音评测用例集 — 评测用例总表</t>
        </is>
      </c>
    </row>
    <row r="2" ht="30" customHeight="1">
      <c r="A2" s="2" t="inlineStr">
        <is>
          <t>使用方法：按「用户话术原文」逐条对被测语音助手说出（或在标注场景下实测），把实测情况只填入黄色列（H–K），不要改动A–G列。首响＝说完话到系统开始回应/执行的时间。完整指标与填写说明见「评分说明」表。</t>
        </is>
      </c>
    </row>
    <row r="3" ht="20" customHeight="1">
      <c r="A3" s="3" t="inlineStr">
        <is>
          <t>分类计数：A 基础车控 25条 ｜ B 导航出行 25条 ｜ C 多意图组合 20条 ｜ D 打断与纠错 20条 ｜ E 噪声与复杂环境 15条 ｜ F 模糊表达与闲聊问答 15条 ｜ 合计 120条　　结果列已全部留空，须由实测人本人填写。</t>
        </is>
      </c>
    </row>
    <row r="4" ht="36" customHeight="1">
      <c r="A4" s="4" t="inlineStr">
        <is>
          <t>用例ID</t>
        </is>
      </c>
      <c r="B4" s="4" t="inlineStr">
        <is>
          <t>分类</t>
        </is>
      </c>
      <c r="C4" s="4" t="inlineStr">
        <is>
          <t>测试场景说明</t>
        </is>
      </c>
      <c r="D4" s="4" t="inlineStr">
        <is>
          <t>用户话术原文</t>
        </is>
      </c>
      <c r="E4" s="4" t="inlineStr">
        <is>
          <t>预期意图</t>
        </is>
      </c>
      <c r="F4" s="4" t="inlineStr">
        <is>
          <t>预期执行结果</t>
        </is>
      </c>
      <c r="G4" s="4" t="inlineStr">
        <is>
          <t>通过标准</t>
        </is>
      </c>
      <c r="H4" s="4" t="inlineStr">
        <is>
          <t>识别文本（实测填）</t>
        </is>
      </c>
      <c r="I4" s="4" t="inlineStr">
        <is>
          <t>是否完成（实测填）</t>
        </is>
      </c>
      <c r="J4" s="4" t="inlineStr">
        <is>
          <t>实际延迟（秒，实测填）</t>
        </is>
      </c>
      <c r="K4" s="4" t="inlineStr">
        <is>
          <t>失败归因层（实测填）</t>
        </is>
      </c>
      <c r="L4" s="4" t="inlineStr">
        <is>
          <t>备注</t>
        </is>
      </c>
    </row>
    <row r="5" ht="30" customHeight="1">
      <c r="A5" s="5" t="inlineStr">
        <is>
          <t>A-01</t>
        </is>
      </c>
      <c r="B5" s="6" t="inlineStr">
        <is>
          <t>A 基础车控</t>
        </is>
      </c>
      <c r="C5" s="7" t="inlineStr">
        <is>
          <t>停车静止，主驾，车内安静</t>
        </is>
      </c>
      <c r="D5" s="8" t="inlineStr">
        <is>
          <t>打开空调</t>
        </is>
      </c>
      <c r="E5" s="7" t="inlineStr">
        <is>
          <t>开启空调</t>
        </is>
      </c>
      <c r="F5" s="7" t="inlineStr">
        <is>
          <t>空调开启，默认温度/风量或恢复上次设置，播报确认</t>
        </is>
      </c>
      <c r="G5" s="7" t="inlineStr">
        <is>
          <t>识别正确、任务完整完成且首响＜1.5s，无二次误执行</t>
        </is>
      </c>
      <c r="H5" s="9" t="n"/>
      <c r="I5" s="10" t="n"/>
      <c r="J5" s="10" t="n"/>
      <c r="K5" s="10" t="n"/>
      <c r="L5" s="7" t="inlineStr">
        <is>
          <t>冷启动类指令，注意默认温度</t>
        </is>
      </c>
    </row>
    <row r="6" ht="30" customHeight="1">
      <c r="A6" s="5" t="inlineStr">
        <is>
          <t>A-02</t>
        </is>
      </c>
      <c r="B6" s="6" t="inlineStr">
        <is>
          <t>A 基础车控</t>
        </is>
      </c>
      <c r="C6" s="7" t="inlineStr">
        <is>
          <t>行驶中，主驾，空调已开</t>
        </is>
      </c>
      <c r="D6" s="8" t="inlineStr">
        <is>
          <t>空调调到23度</t>
        </is>
      </c>
      <c r="E6" s="7" t="inlineStr">
        <is>
          <t>设置空调温度=23℃</t>
        </is>
      </c>
      <c r="F6" s="7" t="inlineStr">
        <is>
          <t>温度设为23℃，屏幕显示一致</t>
        </is>
      </c>
      <c r="G6" s="7" t="inlineStr">
        <is>
          <t>识别正确、任务完整完成且首响＜1.5s，无二次误执行</t>
        </is>
      </c>
      <c r="H6" s="9" t="n"/>
      <c r="I6" s="10" t="n"/>
      <c r="J6" s="10" t="n"/>
      <c r="K6" s="10" t="n"/>
      <c r="L6" s="7" t="inlineStr"/>
    </row>
    <row r="7" ht="30" customHeight="1">
      <c r="A7" s="5" t="inlineStr">
        <is>
          <t>A-03</t>
        </is>
      </c>
      <c r="B7" s="6" t="inlineStr">
        <is>
          <t>A 基础车控</t>
        </is>
      </c>
      <c r="C7" s="7" t="inlineStr">
        <is>
          <t>行驶中，主驾</t>
        </is>
      </c>
      <c r="D7" s="8" t="inlineStr">
        <is>
          <t>风量调大一点</t>
        </is>
      </c>
      <c r="E7" s="7" t="inlineStr">
        <is>
          <t>调高空调风量1档</t>
        </is>
      </c>
      <c r="F7" s="7" t="inlineStr">
        <is>
          <t>风量+1档，不改变温度</t>
        </is>
      </c>
      <c r="G7" s="7" t="inlineStr">
        <is>
          <t>识别正确、任务完整完成且首响＜1.5s，无二次误执行</t>
        </is>
      </c>
      <c r="H7" s="9" t="n"/>
      <c r="I7" s="10" t="n"/>
      <c r="J7" s="10" t="n"/>
      <c r="K7" s="10" t="n"/>
      <c r="L7" s="7" t="inlineStr"/>
    </row>
    <row r="8" ht="30" customHeight="1">
      <c r="A8" s="5" t="inlineStr">
        <is>
          <t>A-04</t>
        </is>
      </c>
      <c r="B8" s="6" t="inlineStr">
        <is>
          <t>A 基础车控</t>
        </is>
      </c>
      <c r="C8" s="7" t="inlineStr">
        <is>
          <t>行驶中，主驾</t>
        </is>
      </c>
      <c r="D8" s="8" t="inlineStr">
        <is>
          <t>风量调小一点</t>
        </is>
      </c>
      <c r="E8" s="7" t="inlineStr">
        <is>
          <t>调低空调风量1档</t>
        </is>
      </c>
      <c r="F8" s="7" t="inlineStr">
        <is>
          <t>风量-1档，不改变温度</t>
        </is>
      </c>
      <c r="G8" s="7" t="inlineStr">
        <is>
          <t>识别正确、任务完整完成且首响＜1.5s，无二次误执行</t>
        </is>
      </c>
      <c r="H8" s="9" t="n"/>
      <c r="I8" s="10" t="n"/>
      <c r="J8" s="10" t="n"/>
      <c r="K8" s="10" t="n"/>
      <c r="L8" s="7" t="inlineStr"/>
    </row>
    <row r="9" ht="30" customHeight="1">
      <c r="A9" s="5" t="inlineStr">
        <is>
          <t>A-05</t>
        </is>
      </c>
      <c r="B9" s="6" t="inlineStr">
        <is>
          <t>A 基础车控</t>
        </is>
      </c>
      <c r="C9" s="7" t="inlineStr">
        <is>
          <t>冬季行驶，主驾，座椅加热关</t>
        </is>
      </c>
      <c r="D9" s="8" t="inlineStr">
        <is>
          <t>打开座椅加热，调到二档</t>
        </is>
      </c>
      <c r="E9" s="7" t="inlineStr">
        <is>
          <t>开启主驾座椅加热2档</t>
        </is>
      </c>
      <c r="F9" s="7" t="inlineStr">
        <is>
          <t>主驾座椅加热开启至2档</t>
        </is>
      </c>
      <c r="G9" s="7" t="inlineStr">
        <is>
          <t>识别正确、任务完整完成且首响＜1.5s，无二次误执行</t>
        </is>
      </c>
      <c r="H9" s="9" t="n"/>
      <c r="I9" s="10" t="n"/>
      <c r="J9" s="10" t="n"/>
      <c r="K9" s="10" t="n"/>
      <c r="L9" s="7" t="inlineStr"/>
    </row>
    <row r="10" ht="30" customHeight="1">
      <c r="A10" s="5" t="inlineStr">
        <is>
          <t>A-06</t>
        </is>
      </c>
      <c r="B10" s="6" t="inlineStr">
        <is>
          <t>A 基础车控</t>
        </is>
      </c>
      <c r="C10" s="7" t="inlineStr">
        <is>
          <t>夏季行驶，主驾</t>
        </is>
      </c>
      <c r="D10" s="8" t="inlineStr">
        <is>
          <t>打开座椅通风</t>
        </is>
      </c>
      <c r="E10" s="7" t="inlineStr">
        <is>
          <t>开启主驾座椅通风</t>
        </is>
      </c>
      <c r="F10" s="7" t="inlineStr">
        <is>
          <t>座椅通风开启</t>
        </is>
      </c>
      <c r="G10" s="7" t="inlineStr">
        <is>
          <t>识别正确、任务完整完成且首响＜1.5s，无二次误执行</t>
        </is>
      </c>
      <c r="H10" s="9" t="n"/>
      <c r="I10" s="10" t="n"/>
      <c r="J10" s="10" t="n"/>
      <c r="K10" s="10" t="n"/>
      <c r="L10" s="7" t="inlineStr"/>
    </row>
    <row r="11" ht="30" customHeight="1">
      <c r="A11" s="5" t="inlineStr">
        <is>
          <t>A-07</t>
        </is>
      </c>
      <c r="B11" s="6" t="inlineStr">
        <is>
          <t>A 基础车控</t>
        </is>
      </c>
      <c r="C11" s="7" t="inlineStr">
        <is>
          <t>行驶中，副驾座椅加热已开</t>
        </is>
      </c>
      <c r="D11" s="8" t="inlineStr">
        <is>
          <t>关掉副驾的座椅加热</t>
        </is>
      </c>
      <c r="E11" s="7" t="inlineStr">
        <is>
          <t>关闭副驾座椅加热</t>
        </is>
      </c>
      <c r="F11" s="7" t="inlineStr">
        <is>
          <t>仅副驾加热关闭，主驾不受影响</t>
        </is>
      </c>
      <c r="G11" s="7" t="inlineStr">
        <is>
          <t>识别正确、任务完整完成且首响＜1.5s，无二次误执行</t>
        </is>
      </c>
      <c r="H11" s="9" t="n"/>
      <c r="I11" s="10" t="n"/>
      <c r="J11" s="10" t="n"/>
      <c r="K11" s="10" t="n"/>
      <c r="L11" s="7" t="inlineStr"/>
    </row>
    <row r="12" ht="30" customHeight="1">
      <c r="A12" s="5" t="inlineStr">
        <is>
          <t>A-08</t>
        </is>
      </c>
      <c r="B12" s="6" t="inlineStr">
        <is>
          <t>A 基础车控</t>
        </is>
      </c>
      <c r="C12" s="7" t="inlineStr">
        <is>
          <t>行驶中，主驾</t>
        </is>
      </c>
      <c r="D12" s="8" t="inlineStr">
        <is>
          <t>主驾车窗打开一半</t>
        </is>
      </c>
      <c r="E12" s="7" t="inlineStr">
        <is>
          <t>主驾车窗开至50%</t>
        </is>
      </c>
      <c r="F12" s="7" t="inlineStr">
        <is>
          <t>主驾车窗下降至约一半位置</t>
        </is>
      </c>
      <c r="G12" s="7" t="inlineStr">
        <is>
          <t>识别正确、任务完整完成且首响＜1.5s，无二次误执行</t>
        </is>
      </c>
      <c r="H12" s="9" t="n"/>
      <c r="I12" s="10" t="n"/>
      <c r="J12" s="10" t="n"/>
      <c r="K12" s="10" t="n"/>
      <c r="L12" s="7" t="inlineStr"/>
    </row>
    <row r="13" ht="30" customHeight="1">
      <c r="A13" s="5" t="inlineStr">
        <is>
          <t>A-09</t>
        </is>
      </c>
      <c r="B13" s="6" t="inlineStr">
        <is>
          <t>A 基础车控</t>
        </is>
      </c>
      <c r="C13" s="7" t="inlineStr">
        <is>
          <t>行驶中，主驾，四窗部分开</t>
        </is>
      </c>
      <c r="D13" s="8" t="inlineStr">
        <is>
          <t>关上所有车窗</t>
        </is>
      </c>
      <c r="E13" s="7" t="inlineStr">
        <is>
          <t>关闭全部车窗</t>
        </is>
      </c>
      <c r="F13" s="7" t="inlineStr">
        <is>
          <t>四窗全部关闭并有确认反馈</t>
        </is>
      </c>
      <c r="G13" s="7" t="inlineStr">
        <is>
          <t>识别正确、任务完整完成且首响＜1.5s，无二次误执行</t>
        </is>
      </c>
      <c r="H13" s="9" t="n"/>
      <c r="I13" s="10" t="n"/>
      <c r="J13" s="10" t="n"/>
      <c r="K13" s="10" t="n"/>
      <c r="L13" s="7" t="inlineStr"/>
    </row>
    <row r="14" ht="30" customHeight="1">
      <c r="A14" s="5" t="inlineStr">
        <is>
          <t>A-10</t>
        </is>
      </c>
      <c r="B14" s="6" t="inlineStr">
        <is>
          <t>A 基础车控</t>
        </is>
      </c>
      <c r="C14" s="7" t="inlineStr">
        <is>
          <t>停车，主驾</t>
        </is>
      </c>
      <c r="D14" s="8" t="inlineStr">
        <is>
          <t>打开天窗</t>
        </is>
      </c>
      <c r="E14" s="7" t="inlineStr">
        <is>
          <t>开启天窗</t>
        </is>
      </c>
      <c r="F14" s="7" t="inlineStr">
        <is>
          <t>天窗开启（遮阳帘同步打开）</t>
        </is>
      </c>
      <c r="G14" s="7" t="inlineStr">
        <is>
          <t>识别正确、任务完整完成且首响＜1.5s，无二次误执行</t>
        </is>
      </c>
      <c r="H14" s="9" t="n"/>
      <c r="I14" s="10" t="n"/>
      <c r="J14" s="10" t="n"/>
      <c r="K14" s="10" t="n"/>
      <c r="L14" s="7" t="inlineStr"/>
    </row>
    <row r="15" ht="30" customHeight="1">
      <c r="A15" s="5" t="inlineStr">
        <is>
          <t>A-11</t>
        </is>
      </c>
      <c r="B15" s="6" t="inlineStr">
        <is>
          <t>A 基础车控</t>
        </is>
      </c>
      <c r="C15" s="7" t="inlineStr">
        <is>
          <t>行驶中，主驾</t>
        </is>
      </c>
      <c r="D15" s="8" t="inlineStr">
        <is>
          <t>打开方向盘加热</t>
        </is>
      </c>
      <c r="E15" s="7" t="inlineStr">
        <is>
          <t>开启方向盘加热</t>
        </is>
      </c>
      <c r="F15" s="7" t="inlineStr">
        <is>
          <t>方向盘加热开启</t>
        </is>
      </c>
      <c r="G15" s="7" t="inlineStr">
        <is>
          <t>识别正确、任务完整完成且首响＜1.5s，无二次误执行</t>
        </is>
      </c>
      <c r="H15" s="9" t="n"/>
      <c r="I15" s="10" t="n"/>
      <c r="J15" s="10" t="n"/>
      <c r="K15" s="10" t="n"/>
      <c r="L15" s="7" t="inlineStr"/>
    </row>
    <row r="16" ht="30" customHeight="1">
      <c r="A16" s="5" t="inlineStr">
        <is>
          <t>A-12</t>
        </is>
      </c>
      <c r="B16" s="6" t="inlineStr">
        <is>
          <t>A 基础车控</t>
        </is>
      </c>
      <c r="C16" s="7" t="inlineStr">
        <is>
          <t>行驶中，主驾，后视镜起雾</t>
        </is>
      </c>
      <c r="D16" s="8" t="inlineStr">
        <is>
          <t>打开后视镜加热</t>
        </is>
      </c>
      <c r="E16" s="7" t="inlineStr">
        <is>
          <t>开启后视镜加热</t>
        </is>
      </c>
      <c r="F16" s="7" t="inlineStr">
        <is>
          <t>后视镜加热开启</t>
        </is>
      </c>
      <c r="G16" s="7" t="inlineStr">
        <is>
          <t>识别正确、任务完整完成且首响＜1.5s，无二次误执行</t>
        </is>
      </c>
      <c r="H16" s="9" t="n"/>
      <c r="I16" s="10" t="n"/>
      <c r="J16" s="10" t="n"/>
      <c r="K16" s="10" t="n"/>
      <c r="L16" s="7" t="inlineStr"/>
    </row>
    <row r="17" ht="30" customHeight="1">
      <c r="A17" s="5" t="inlineStr">
        <is>
          <t>A-13</t>
        </is>
      </c>
      <c r="B17" s="6" t="inlineStr">
        <is>
          <t>A 基础车控</t>
        </is>
      </c>
      <c r="C17" s="7" t="inlineStr">
        <is>
          <t>行驶中，主驾，屏幕刺眼</t>
        </is>
      </c>
      <c r="D17" s="8" t="inlineStr">
        <is>
          <t>屏幕亮度调低一点</t>
        </is>
      </c>
      <c r="E17" s="7" t="inlineStr">
        <is>
          <t>调低中控屏亮度</t>
        </is>
      </c>
      <c r="F17" s="7" t="inlineStr">
        <is>
          <t>亮度降低1级或至舒适档</t>
        </is>
      </c>
      <c r="G17" s="7" t="inlineStr">
        <is>
          <t>识别正确、任务完整完成且首响＜1.5s，无二次误执行</t>
        </is>
      </c>
      <c r="H17" s="9" t="n"/>
      <c r="I17" s="10" t="n"/>
      <c r="J17" s="10" t="n"/>
      <c r="K17" s="10" t="n"/>
      <c r="L17" s="7" t="inlineStr"/>
    </row>
    <row r="18" ht="30" customHeight="1">
      <c r="A18" s="5" t="inlineStr">
        <is>
          <t>A-14</t>
        </is>
      </c>
      <c r="B18" s="6" t="inlineStr">
        <is>
          <t>A 基础车控</t>
        </is>
      </c>
      <c r="C18" s="7" t="inlineStr">
        <is>
          <t>夜间行驶，主驾</t>
        </is>
      </c>
      <c r="D18" s="8" t="inlineStr">
        <is>
          <t>把氛围灯调成蓝色</t>
        </is>
      </c>
      <c r="E18" s="7" t="inlineStr">
        <is>
          <t>设置氛围灯颜色=蓝</t>
        </is>
      </c>
      <c r="F18" s="7" t="inlineStr">
        <is>
          <t>氛围灯变为蓝色</t>
        </is>
      </c>
      <c r="G18" s="7" t="inlineStr">
        <is>
          <t>识别正确、任务完整完成且首响＜1.5s，无二次误执行</t>
        </is>
      </c>
      <c r="H18" s="9" t="n"/>
      <c r="I18" s="10" t="n"/>
      <c r="J18" s="10" t="n"/>
      <c r="K18" s="10" t="n"/>
      <c r="L18" s="7" t="inlineStr"/>
    </row>
    <row r="19" ht="30" customHeight="1">
      <c r="A19" s="5" t="inlineStr">
        <is>
          <t>A-15</t>
        </is>
      </c>
      <c r="B19" s="6" t="inlineStr">
        <is>
          <t>A 基础车控</t>
        </is>
      </c>
      <c r="C19" s="7" t="inlineStr">
        <is>
          <t>行驶中，主驾，空气不新鲜</t>
        </is>
      </c>
      <c r="D19" s="8" t="inlineStr">
        <is>
          <t>切换到外循环</t>
        </is>
      </c>
      <c r="E19" s="7" t="inlineStr">
        <is>
          <t>空调切换外循环</t>
        </is>
      </c>
      <c r="F19" s="7" t="inlineStr">
        <is>
          <t>循环模式变为外循环，与内循环区分</t>
        </is>
      </c>
      <c r="G19" s="7" t="inlineStr">
        <is>
          <t>识别正确、任务完整完成且首响＜1.5s，无二次误执行</t>
        </is>
      </c>
      <c r="H19" s="9" t="n"/>
      <c r="I19" s="10" t="n"/>
      <c r="J19" s="10" t="n"/>
      <c r="K19" s="10" t="n"/>
      <c r="L19" s="7" t="inlineStr"/>
    </row>
    <row r="20" ht="30" customHeight="1">
      <c r="A20" s="5" t="inlineStr">
        <is>
          <t>A-16</t>
        </is>
      </c>
      <c r="B20" s="6" t="inlineStr">
        <is>
          <t>A 基础车控</t>
        </is>
      </c>
      <c r="C20" s="7" t="inlineStr">
        <is>
          <t>雨天行驶，主驾，前挡起雾</t>
        </is>
      </c>
      <c r="D20" s="8" t="inlineStr">
        <is>
          <t>打开前挡风除雾</t>
        </is>
      </c>
      <c r="E20" s="7" t="inlineStr">
        <is>
          <t>开启前除雾</t>
        </is>
      </c>
      <c r="F20" s="7" t="inlineStr">
        <is>
          <t>除雾开启，风量自动加大对前挡</t>
        </is>
      </c>
      <c r="G20" s="7" t="inlineStr">
        <is>
          <t>识别正确、任务完整完成且首响＜1.5s，无二次误执行</t>
        </is>
      </c>
      <c r="H20" s="9" t="n"/>
      <c r="I20" s="10" t="n"/>
      <c r="J20" s="10" t="n"/>
      <c r="K20" s="10" t="n"/>
      <c r="L20" s="7" t="inlineStr"/>
    </row>
    <row r="21" ht="30" customHeight="1">
      <c r="A21" s="5" t="inlineStr">
        <is>
          <t>A-17</t>
        </is>
      </c>
      <c r="B21" s="6" t="inlineStr">
        <is>
          <t>A 基础车控</t>
        </is>
      </c>
      <c r="C21" s="7" t="inlineStr">
        <is>
          <t>停车，主驾</t>
        </is>
      </c>
      <c r="D21" s="8" t="inlineStr">
        <is>
          <t>打开后备箱</t>
        </is>
      </c>
      <c r="E21" s="7" t="inlineStr">
        <is>
          <t>开启后备箱</t>
        </is>
      </c>
      <c r="F21" s="7" t="inlineStr">
        <is>
          <t>后备箱解锁并打开</t>
        </is>
      </c>
      <c r="G21" s="7" t="inlineStr">
        <is>
          <t>识别正确、任务完整完成且首响＜1.5s，无二次误执行</t>
        </is>
      </c>
      <c r="H21" s="9" t="n"/>
      <c r="I21" s="10" t="n"/>
      <c r="J21" s="10" t="n"/>
      <c r="K21" s="10" t="n"/>
      <c r="L21" s="7" t="inlineStr"/>
    </row>
    <row r="22" ht="30" customHeight="1">
      <c r="A22" s="5" t="inlineStr">
        <is>
          <t>A-18</t>
        </is>
      </c>
      <c r="B22" s="6" t="inlineStr">
        <is>
          <t>A 基础车控</t>
        </is>
      </c>
      <c r="C22" s="7" t="inlineStr">
        <is>
          <t>行驶中，主驾，媒体播放中</t>
        </is>
      </c>
      <c r="D22" s="8" t="inlineStr">
        <is>
          <t>音量调小一点</t>
        </is>
      </c>
      <c r="E22" s="7" t="inlineStr">
        <is>
          <t>调低媒体音量</t>
        </is>
      </c>
      <c r="F22" s="7" t="inlineStr">
        <is>
          <t>音量降低，不暂停播放</t>
        </is>
      </c>
      <c r="G22" s="7" t="inlineStr">
        <is>
          <t>识别正确、任务完整完成且首响＜1.5s，无二次误执行</t>
        </is>
      </c>
      <c r="H22" s="9" t="n"/>
      <c r="I22" s="10" t="n"/>
      <c r="J22" s="10" t="n"/>
      <c r="K22" s="10" t="n"/>
      <c r="L22" s="7" t="inlineStr"/>
    </row>
    <row r="23" ht="30" customHeight="1">
      <c r="A23" s="5" t="inlineStr">
        <is>
          <t>A-19</t>
        </is>
      </c>
      <c r="B23" s="6" t="inlineStr">
        <is>
          <t>A 基础车控</t>
        </is>
      </c>
      <c r="C23" s="7" t="inlineStr">
        <is>
          <t>行驶中，主驾</t>
        </is>
      </c>
      <c r="D23" s="8" t="inlineStr">
        <is>
          <t>座椅往后调一点</t>
        </is>
      </c>
      <c r="E23" s="7" t="inlineStr">
        <is>
          <t>主驾座椅后移</t>
        </is>
      </c>
      <c r="F23" s="7" t="inlineStr">
        <is>
          <t>座椅小幅后移，可被再次指令停止</t>
        </is>
      </c>
      <c r="G23" s="7" t="inlineStr">
        <is>
          <t>识别正确、任务完整完成且首响＜1.5s，无二次误执行</t>
        </is>
      </c>
      <c r="H23" s="9" t="n"/>
      <c r="I23" s="10" t="n"/>
      <c r="J23" s="10" t="n"/>
      <c r="K23" s="10" t="n"/>
      <c r="L23" s="7" t="inlineStr"/>
    </row>
    <row r="24" ht="30" customHeight="1">
      <c r="A24" s="5" t="inlineStr">
        <is>
          <t>A-20</t>
        </is>
      </c>
      <c r="B24" s="6" t="inlineStr">
        <is>
          <t>A 基础车控</t>
        </is>
      </c>
      <c r="C24" s="7" t="inlineStr">
        <is>
          <t>行驶中，主驾</t>
        </is>
      </c>
      <c r="D24" s="8" t="inlineStr">
        <is>
          <t>打开阅读灯</t>
        </is>
      </c>
      <c r="E24" s="7" t="inlineStr">
        <is>
          <t>开启主驾阅读灯</t>
        </is>
      </c>
      <c r="F24" s="7" t="inlineStr">
        <is>
          <t>阅读灯点亮</t>
        </is>
      </c>
      <c r="G24" s="7" t="inlineStr">
        <is>
          <t>识别正确、任务完整完成且首响＜1.5s，无二次误执行</t>
        </is>
      </c>
      <c r="H24" s="9" t="n"/>
      <c r="I24" s="10" t="n"/>
      <c r="J24" s="10" t="n"/>
      <c r="K24" s="10" t="n"/>
      <c r="L24" s="7" t="inlineStr"/>
    </row>
    <row r="25" ht="30" customHeight="1">
      <c r="A25" s="5" t="inlineStr">
        <is>
          <t>A-21</t>
        </is>
      </c>
      <c r="B25" s="6" t="inlineStr">
        <is>
          <t>A 基础车控</t>
        </is>
      </c>
      <c r="C25" s="7" t="inlineStr">
        <is>
          <t>停车，主驾</t>
        </is>
      </c>
      <c r="D25" s="8" t="inlineStr">
        <is>
          <t>折叠后视镜</t>
        </is>
      </c>
      <c r="E25" s="7" t="inlineStr">
        <is>
          <t>折叠外后视镜</t>
        </is>
      </c>
      <c r="F25" s="7" t="inlineStr">
        <is>
          <t>双侧后视镜折叠</t>
        </is>
      </c>
      <c r="G25" s="7" t="inlineStr">
        <is>
          <t>识别正确、任务完整完成且首响＜1.5s，无二次误执行</t>
        </is>
      </c>
      <c r="H25" s="9" t="n"/>
      <c r="I25" s="10" t="n"/>
      <c r="J25" s="10" t="n"/>
      <c r="K25" s="10" t="n"/>
      <c r="L25" s="7" t="inlineStr"/>
    </row>
    <row r="26" ht="30" customHeight="1">
      <c r="A26" s="5" t="inlineStr">
        <is>
          <t>A-22</t>
        </is>
      </c>
      <c r="B26" s="6" t="inlineStr">
        <is>
          <t>A 基础车控</t>
        </is>
      </c>
      <c r="C26" s="7" t="inlineStr">
        <is>
          <t>行驶中，主驾</t>
        </is>
      </c>
      <c r="D26" s="8" t="inlineStr">
        <is>
          <t>切换到运动模式</t>
        </is>
      </c>
      <c r="E26" s="7" t="inlineStr">
        <is>
          <t>切换驾驶模式=运动</t>
        </is>
      </c>
      <c r="F26" s="7" t="inlineStr">
        <is>
          <t>驾驶模式变为运动，仪表有提示</t>
        </is>
      </c>
      <c r="G26" s="7" t="inlineStr">
        <is>
          <t>识别正确、任务完整完成且首响＜1.5s，无二次误执行</t>
        </is>
      </c>
      <c r="H26" s="9" t="n"/>
      <c r="I26" s="10" t="n"/>
      <c r="J26" s="10" t="n"/>
      <c r="K26" s="10" t="n"/>
      <c r="L26" s="7" t="inlineStr"/>
    </row>
    <row r="27" ht="30" customHeight="1">
      <c r="A27" s="5" t="inlineStr">
        <is>
          <t>A-23</t>
        </is>
      </c>
      <c r="B27" s="6" t="inlineStr">
        <is>
          <t>A 基础车控</t>
        </is>
      </c>
      <c r="C27" s="7" t="inlineStr">
        <is>
          <t>行驶中，主驾，蓝牙未连</t>
        </is>
      </c>
      <c r="D27" s="8" t="inlineStr">
        <is>
          <t>打开蓝牙</t>
        </is>
      </c>
      <c r="E27" s="7" t="inlineStr">
        <is>
          <t>开启车机蓝牙</t>
        </is>
      </c>
      <c r="F27" s="7" t="inlineStr">
        <is>
          <t>蓝牙开启并进入可连接状态</t>
        </is>
      </c>
      <c r="G27" s="7" t="inlineStr">
        <is>
          <t>识别正确、任务完整完成且首响＜1.5s，无二次误执行</t>
        </is>
      </c>
      <c r="H27" s="9" t="n"/>
      <c r="I27" s="10" t="n"/>
      <c r="J27" s="10" t="n"/>
      <c r="K27" s="10" t="n"/>
      <c r="L27" s="7" t="inlineStr"/>
    </row>
    <row r="28" ht="30" customHeight="1">
      <c r="A28" s="5" t="inlineStr">
        <is>
          <t>A-24</t>
        </is>
      </c>
      <c r="B28" s="6" t="inlineStr">
        <is>
          <t>A 基础车控</t>
        </is>
      </c>
      <c r="C28" s="7" t="inlineStr">
        <is>
          <t>行驶中，主驾，自动雨刮关</t>
        </is>
      </c>
      <c r="D28" s="8" t="inlineStr">
        <is>
          <t>打开自动雨刮</t>
        </is>
      </c>
      <c r="E28" s="7" t="inlineStr">
        <is>
          <t>开启自动雨刮</t>
        </is>
      </c>
      <c r="F28" s="7" t="inlineStr">
        <is>
          <t>雨刮模式为自动</t>
        </is>
      </c>
      <c r="G28" s="7" t="inlineStr">
        <is>
          <t>识别正确、任务完整完成且首响＜1.5s，无二次误执行</t>
        </is>
      </c>
      <c r="H28" s="9" t="n"/>
      <c r="I28" s="10" t="n"/>
      <c r="J28" s="10" t="n"/>
      <c r="K28" s="10" t="n"/>
      <c r="L28" s="7" t="inlineStr"/>
    </row>
    <row r="29" ht="30" customHeight="1">
      <c r="A29" s="5" t="inlineStr">
        <is>
          <t>A-25</t>
        </is>
      </c>
      <c r="B29" s="6" t="inlineStr">
        <is>
          <t>A 基础车控</t>
        </is>
      </c>
      <c r="C29" s="7" t="inlineStr">
        <is>
          <t>行驶中，主驾，空调除雾均开</t>
        </is>
      </c>
      <c r="D29" s="8" t="inlineStr">
        <is>
          <t>关掉空调</t>
        </is>
      </c>
      <c r="E29" s="7" t="inlineStr">
        <is>
          <t>关闭空调</t>
        </is>
      </c>
      <c r="F29" s="7" t="inlineStr">
        <is>
          <t>空调关闭，除雾状态按系统逻辑处理并说明</t>
        </is>
      </c>
      <c r="G29" s="7" t="inlineStr">
        <is>
          <t>识别正确、任务完整完成且首响＜1.5s，无二次误执行</t>
        </is>
      </c>
      <c r="H29" s="9" t="n"/>
      <c r="I29" s="10" t="n"/>
      <c r="J29" s="10" t="n"/>
      <c r="K29" s="10" t="n"/>
      <c r="L29" s="7" t="inlineStr"/>
    </row>
    <row r="30" ht="30" customHeight="1">
      <c r="A30" s="11" t="inlineStr">
        <is>
          <t>B-01</t>
        </is>
      </c>
      <c r="B30" s="6" t="inlineStr">
        <is>
          <t>B 导航出行</t>
        </is>
      </c>
      <c r="C30" s="7" t="inlineStr">
        <is>
          <t>出发前，主驾，已设公司地址</t>
        </is>
      </c>
      <c r="D30" s="8" t="inlineStr">
        <is>
          <t>导航去公司</t>
        </is>
      </c>
      <c r="E30" s="7" t="inlineStr">
        <is>
          <t>导航至公司</t>
        </is>
      </c>
      <c r="F30" s="7" t="inlineStr">
        <is>
          <t>规划路线并开始导航，播报预计时长</t>
        </is>
      </c>
      <c r="G30" s="7" t="inlineStr">
        <is>
          <t>目的地/路线正确、任务完成且首响＜1.5s；需消歧时先追问不乱选</t>
        </is>
      </c>
      <c r="H30" s="9" t="n"/>
      <c r="I30" s="10" t="n"/>
      <c r="J30" s="10" t="n"/>
      <c r="K30" s="10" t="n"/>
      <c r="L30" s="7" t="inlineStr"/>
    </row>
    <row r="31" ht="30" customHeight="1">
      <c r="A31" s="11" t="inlineStr">
        <is>
          <t>B-02</t>
        </is>
      </c>
      <c r="B31" s="6" t="inlineStr">
        <is>
          <t>B 导航出行</t>
        </is>
      </c>
      <c r="C31" s="7" t="inlineStr">
        <is>
          <t>出发前，主驾，已设家地址</t>
        </is>
      </c>
      <c r="D31" s="8" t="inlineStr">
        <is>
          <t>导航回家</t>
        </is>
      </c>
      <c r="E31" s="7" t="inlineStr">
        <is>
          <t>导航至家</t>
        </is>
      </c>
      <c r="F31" s="7" t="inlineStr">
        <is>
          <t>规划回家路线并开始导航</t>
        </is>
      </c>
      <c r="G31" s="7" t="inlineStr">
        <is>
          <t>目的地/路线正确、任务完成且首响＜1.5s；需消歧时先追问不乱选</t>
        </is>
      </c>
      <c r="H31" s="9" t="n"/>
      <c r="I31" s="10" t="n"/>
      <c r="J31" s="10" t="n"/>
      <c r="K31" s="10" t="n"/>
      <c r="L31" s="7" t="inlineStr"/>
    </row>
    <row r="32" ht="30" customHeight="1">
      <c r="A32" s="11" t="inlineStr">
        <is>
          <t>B-03</t>
        </is>
      </c>
      <c r="B32" s="6" t="inlineStr">
        <is>
          <t>B 导航出行</t>
        </is>
      </c>
      <c r="C32" s="7" t="inlineStr">
        <is>
          <t>行驶中，主驾，油量偏低</t>
        </is>
      </c>
      <c r="D32" s="8" t="inlineStr">
        <is>
          <t>去最近的加油站</t>
        </is>
      </c>
      <c r="E32" s="7" t="inlineStr">
        <is>
          <t>搜索并导航至最近加油站</t>
        </is>
      </c>
      <c r="F32" s="7" t="inlineStr">
        <is>
          <t>列出/直接导航至最近加油站，说明距离</t>
        </is>
      </c>
      <c r="G32" s="7" t="inlineStr">
        <is>
          <t>目的地/路线正确、任务完成且首响＜1.5s；需消歧时先追问不乱选</t>
        </is>
      </c>
      <c r="H32" s="9" t="n"/>
      <c r="I32" s="10" t="n"/>
      <c r="J32" s="10" t="n"/>
      <c r="K32" s="10" t="n"/>
      <c r="L32" s="7" t="inlineStr"/>
    </row>
    <row r="33" ht="30" customHeight="1">
      <c r="A33" s="11" t="inlineStr">
        <is>
          <t>B-04</t>
        </is>
      </c>
      <c r="B33" s="6" t="inlineStr">
        <is>
          <t>B 导航出行</t>
        </is>
      </c>
      <c r="C33" s="7" t="inlineStr">
        <is>
          <t>出发前，主驾</t>
        </is>
      </c>
      <c r="D33" s="8" t="inlineStr">
        <is>
          <t>导航去哈尔滨站，避开拥堵</t>
        </is>
      </c>
      <c r="E33" s="7" t="inlineStr">
        <is>
          <t>导航至哈尔滨站+避拥堵路线</t>
        </is>
      </c>
      <c r="F33" s="7" t="inlineStr">
        <is>
          <t>给出避拥堵路线并开始导航</t>
        </is>
      </c>
      <c r="G33" s="7" t="inlineStr">
        <is>
          <t>目的地/路线正确、任务完成且首响＜1.5s；需消歧时先追问不乱选</t>
        </is>
      </c>
      <c r="H33" s="9" t="n"/>
      <c r="I33" s="10" t="n"/>
      <c r="J33" s="10" t="n"/>
      <c r="K33" s="10" t="n"/>
      <c r="L33" s="7" t="inlineStr"/>
    </row>
    <row r="34" ht="30" customHeight="1">
      <c r="A34" s="11" t="inlineStr">
        <is>
          <t>B-05</t>
        </is>
      </c>
      <c r="B34" s="6" t="inlineStr">
        <is>
          <t>B 导航出行</t>
        </is>
      </c>
      <c r="C34" s="7" t="inlineStr">
        <is>
          <t>行驶中，主驾</t>
        </is>
      </c>
      <c r="D34" s="8" t="inlineStr">
        <is>
          <t>附近有什么停车场</t>
        </is>
      </c>
      <c r="E34" s="7" t="inlineStr">
        <is>
          <t>搜索附近停车场</t>
        </is>
      </c>
      <c r="F34" s="7" t="inlineStr">
        <is>
          <t>列出附近停车场及距离，可选其一导航</t>
        </is>
      </c>
      <c r="G34" s="7" t="inlineStr">
        <is>
          <t>目的地/路线正确、任务完成且首响＜1.5s；需消歧时先追问不乱选</t>
        </is>
      </c>
      <c r="H34" s="9" t="n"/>
      <c r="I34" s="10" t="n"/>
      <c r="J34" s="10" t="n"/>
      <c r="K34" s="10" t="n"/>
      <c r="L34" s="7" t="inlineStr"/>
    </row>
    <row r="35" ht="30" customHeight="1">
      <c r="A35" s="11" t="inlineStr">
        <is>
          <t>B-06</t>
        </is>
      </c>
      <c r="B35" s="6" t="inlineStr">
        <is>
          <t>B 导航出行</t>
        </is>
      </c>
      <c r="C35" s="7" t="inlineStr">
        <is>
          <t>出发前，主驾</t>
        </is>
      </c>
      <c r="D35" s="8" t="inlineStr">
        <is>
          <t>导航去机场，要多久</t>
        </is>
      </c>
      <c r="E35" s="7" t="inlineStr">
        <is>
          <t>导航至机场+查询时长</t>
        </is>
      </c>
      <c r="F35" s="7" t="inlineStr">
        <is>
          <t>开始导航并播报预计时长/到达时间</t>
        </is>
      </c>
      <c r="G35" s="7" t="inlineStr">
        <is>
          <t>目的地/路线正确、任务完成且首响＜1.5s；需消歧时先追问不乱选</t>
        </is>
      </c>
      <c r="H35" s="9" t="n"/>
      <c r="I35" s="10" t="n"/>
      <c r="J35" s="10" t="n"/>
      <c r="K35" s="10" t="n"/>
      <c r="L35" s="7" t="inlineStr"/>
    </row>
    <row r="36" ht="30" customHeight="1">
      <c r="A36" s="11" t="inlineStr">
        <is>
          <t>B-07</t>
        </is>
      </c>
      <c r="B36" s="6" t="inlineStr">
        <is>
          <t>B 导航出行</t>
        </is>
      </c>
      <c r="C36" s="7" t="inlineStr">
        <is>
          <t>出发前，主驾</t>
        </is>
      </c>
      <c r="D36" s="8" t="inlineStr">
        <is>
          <t>导航去中央大街</t>
        </is>
      </c>
      <c r="E36" s="7" t="inlineStr">
        <is>
          <t>导航至中央大街</t>
        </is>
      </c>
      <c r="F36" s="7" t="inlineStr">
        <is>
          <t>规划路线并开始导航</t>
        </is>
      </c>
      <c r="G36" s="7" t="inlineStr">
        <is>
          <t>目的地/路线正确、任务完成且首响＜1.5s；需消歧时先追问不乱选</t>
        </is>
      </c>
      <c r="H36" s="9" t="n"/>
      <c r="I36" s="10" t="n"/>
      <c r="J36" s="10" t="n"/>
      <c r="K36" s="10" t="n"/>
      <c r="L36" s="7" t="inlineStr"/>
    </row>
    <row r="37" ht="30" customHeight="1">
      <c r="A37" s="11" t="inlineStr">
        <is>
          <t>B-08</t>
        </is>
      </c>
      <c r="B37" s="6" t="inlineStr">
        <is>
          <t>B 导航出行</t>
        </is>
      </c>
      <c r="C37" s="7" t="inlineStr">
        <is>
          <t>行驶中，主驾，已在导航</t>
        </is>
      </c>
      <c r="D37" s="8" t="inlineStr">
        <is>
          <t>前面堵不堵</t>
        </is>
      </c>
      <c r="E37" s="7" t="inlineStr">
        <is>
          <t>查询前方路况</t>
        </is>
      </c>
      <c r="F37" s="7" t="inlineStr">
        <is>
          <t>播报前方拥堵情况及影响时长</t>
        </is>
      </c>
      <c r="G37" s="7" t="inlineStr">
        <is>
          <t>目的地/路线正确、任务完成且首响＜1.5s；需消歧时先追问不乱选</t>
        </is>
      </c>
      <c r="H37" s="9" t="n"/>
      <c r="I37" s="10" t="n"/>
      <c r="J37" s="10" t="n"/>
      <c r="K37" s="10" t="n"/>
      <c r="L37" s="7" t="inlineStr"/>
    </row>
    <row r="38" ht="30" customHeight="1">
      <c r="A38" s="11" t="inlineStr">
        <is>
          <t>B-09</t>
        </is>
      </c>
      <c r="B38" s="6" t="inlineStr">
        <is>
          <t>B 导航出行</t>
        </is>
      </c>
      <c r="C38" s="7" t="inlineStr">
        <is>
          <t>行驶中，主驾</t>
        </is>
      </c>
      <c r="D38" s="8" t="inlineStr">
        <is>
          <t>换一条不走高速的路线</t>
        </is>
      </c>
      <c r="E38" s="7" t="inlineStr">
        <is>
          <t>更换路线：避开高速</t>
        </is>
      </c>
      <c r="F38" s="7" t="inlineStr">
        <is>
          <t>重新规划非高速路线并切换</t>
        </is>
      </c>
      <c r="G38" s="7" t="inlineStr">
        <is>
          <t>目的地/路线正确、任务完成且首响＜1.5s；需消歧时先追问不乱选</t>
        </is>
      </c>
      <c r="H38" s="9" t="n"/>
      <c r="I38" s="10" t="n"/>
      <c r="J38" s="10" t="n"/>
      <c r="K38" s="10" t="n"/>
      <c r="L38" s="7" t="inlineStr"/>
    </row>
    <row r="39" ht="30" customHeight="1">
      <c r="A39" s="11" t="inlineStr">
        <is>
          <t>B-10</t>
        </is>
      </c>
      <c r="B39" s="6" t="inlineStr">
        <is>
          <t>B 导航出行</t>
        </is>
      </c>
      <c r="C39" s="7" t="inlineStr">
        <is>
          <t>行驶中，主驾，已在导航</t>
        </is>
      </c>
      <c r="D39" s="8" t="inlineStr">
        <is>
          <t>还有多远，多久能到</t>
        </is>
      </c>
      <c r="E39" s="7" t="inlineStr">
        <is>
          <t>查询剩余距离/时间</t>
        </is>
      </c>
      <c r="F39" s="7" t="inlineStr">
        <is>
          <t>播报剩余公里数与预计到达时间</t>
        </is>
      </c>
      <c r="G39" s="7" t="inlineStr">
        <is>
          <t>目的地/路线正确、任务完成且首响＜1.5s；需消歧时先追问不乱选</t>
        </is>
      </c>
      <c r="H39" s="9" t="n"/>
      <c r="I39" s="10" t="n"/>
      <c r="J39" s="10" t="n"/>
      <c r="K39" s="10" t="n"/>
      <c r="L39" s="7" t="inlineStr"/>
    </row>
    <row r="40" ht="30" customHeight="1">
      <c r="A40" s="11" t="inlineStr">
        <is>
          <t>B-11</t>
        </is>
      </c>
      <c r="B40" s="6" t="inlineStr">
        <is>
          <t>B 导航出行</t>
        </is>
      </c>
      <c r="C40" s="7" t="inlineStr">
        <is>
          <t>行驶中，主驾，已在导航</t>
        </is>
      </c>
      <c r="D40" s="8" t="inlineStr">
        <is>
          <t>取消导航</t>
        </is>
      </c>
      <c r="E40" s="7" t="inlineStr">
        <is>
          <t>结束导航</t>
        </is>
      </c>
      <c r="F40" s="7" t="inlineStr">
        <is>
          <t>导航结束，回到地图/主界面</t>
        </is>
      </c>
      <c r="G40" s="7" t="inlineStr">
        <is>
          <t>目的地/路线正确、任务完成且首响＜1.5s；需消歧时先追问不乱选</t>
        </is>
      </c>
      <c r="H40" s="9" t="n"/>
      <c r="I40" s="10" t="n"/>
      <c r="J40" s="10" t="n"/>
      <c r="K40" s="10" t="n"/>
      <c r="L40" s="7" t="inlineStr"/>
    </row>
    <row r="41" ht="30" customHeight="1">
      <c r="A41" s="11" t="inlineStr">
        <is>
          <t>B-12</t>
        </is>
      </c>
      <c r="B41" s="6" t="inlineStr">
        <is>
          <t>B 导航出行</t>
        </is>
      </c>
      <c r="C41" s="7" t="inlineStr">
        <is>
          <t>午餐时段，主驾，停车</t>
        </is>
      </c>
      <c r="D41" s="8" t="inlineStr">
        <is>
          <t>找附近评分高的火锅店</t>
        </is>
      </c>
      <c r="E41" s="7" t="inlineStr">
        <is>
          <t>搜索附近高评分火锅店</t>
        </is>
      </c>
      <c r="F41" s="7" t="inlineStr">
        <is>
          <t>按评分列出火锅店，含距离/评分</t>
        </is>
      </c>
      <c r="G41" s="7" t="inlineStr">
        <is>
          <t>目的地/路线正确、任务完成且首响＜1.5s；需消歧时先追问不乱选</t>
        </is>
      </c>
      <c r="H41" s="9" t="n"/>
      <c r="I41" s="10" t="n"/>
      <c r="J41" s="10" t="n"/>
      <c r="K41" s="10" t="n"/>
      <c r="L41" s="7" t="inlineStr"/>
    </row>
    <row r="42" ht="30" customHeight="1">
      <c r="A42" s="11" t="inlineStr">
        <is>
          <t>B-13</t>
        </is>
      </c>
      <c r="B42" s="6" t="inlineStr">
        <is>
          <t>B 导航出行</t>
        </is>
      </c>
      <c r="C42" s="7" t="inlineStr">
        <is>
          <t>行驶中，主驾，电量偏低</t>
        </is>
      </c>
      <c r="D42" s="8" t="inlineStr">
        <is>
          <t>导航去快充充电桩</t>
        </is>
      </c>
      <c r="E42" s="7" t="inlineStr">
        <is>
          <t>搜索并导航至快充桩</t>
        </is>
      </c>
      <c r="F42" s="7" t="inlineStr">
        <is>
          <t>优先快充，列出或导航至最近快充桩</t>
        </is>
      </c>
      <c r="G42" s="7" t="inlineStr">
        <is>
          <t>目的地/路线正确、任务完成且首响＜1.5s；需消歧时先追问不乱选</t>
        </is>
      </c>
      <c r="H42" s="9" t="n"/>
      <c r="I42" s="10" t="n"/>
      <c r="J42" s="10" t="n"/>
      <c r="K42" s="10" t="n"/>
      <c r="L42" s="7" t="inlineStr"/>
    </row>
    <row r="43" ht="30" customHeight="1">
      <c r="A43" s="11" t="inlineStr">
        <is>
          <t>B-14</t>
        </is>
      </c>
      <c r="B43" s="6" t="inlineStr">
        <is>
          <t>B 导航出行</t>
        </is>
      </c>
      <c r="C43" s="7" t="inlineStr">
        <is>
          <t>行驶中，主驾，已在导航</t>
        </is>
      </c>
      <c r="D43" s="8" t="inlineStr">
        <is>
          <t>预计几点能到</t>
        </is>
      </c>
      <c r="E43" s="7" t="inlineStr">
        <is>
          <t>查询预计到达时间</t>
        </is>
      </c>
      <c r="F43" s="7" t="inlineStr">
        <is>
          <t>播报ETA，与导航显示一致</t>
        </is>
      </c>
      <c r="G43" s="7" t="inlineStr">
        <is>
          <t>目的地/路线正确、任务完成且首响＜1.5s；需消歧时先追问不乱选</t>
        </is>
      </c>
      <c r="H43" s="9" t="n"/>
      <c r="I43" s="10" t="n"/>
      <c r="J43" s="10" t="n"/>
      <c r="K43" s="10" t="n"/>
      <c r="L43" s="7" t="inlineStr"/>
    </row>
    <row r="44" ht="30" customHeight="1">
      <c r="A44" s="11" t="inlineStr">
        <is>
          <t>B-15</t>
        </is>
      </c>
      <c r="B44" s="6" t="inlineStr">
        <is>
          <t>B 导航出行</t>
        </is>
      </c>
      <c r="C44" s="7" t="inlineStr">
        <is>
          <t>行驶中，主驾</t>
        </is>
      </c>
      <c r="D44" s="8" t="inlineStr">
        <is>
          <t>走高速快还是走下面快</t>
        </is>
      </c>
      <c r="E44" s="7" t="inlineStr">
        <is>
          <t>路线对比：高速vs普通道路</t>
        </is>
      </c>
      <c r="F44" s="7" t="inlineStr">
        <is>
          <t>对比两条路线时长/收费并给出建议</t>
        </is>
      </c>
      <c r="G44" s="7" t="inlineStr">
        <is>
          <t>目的地/路线正确、任务完成且首响＜1.5s；需消歧时先追问不乱选</t>
        </is>
      </c>
      <c r="H44" s="9" t="n"/>
      <c r="I44" s="10" t="n"/>
      <c r="J44" s="10" t="n"/>
      <c r="K44" s="10" t="n"/>
      <c r="L44" s="7" t="inlineStr"/>
    </row>
    <row r="45" ht="30" customHeight="1">
      <c r="A45" s="11" t="inlineStr">
        <is>
          <t>B-16</t>
        </is>
      </c>
      <c r="B45" s="6" t="inlineStr">
        <is>
          <t>B 导航出行</t>
        </is>
      </c>
      <c r="C45" s="7" t="inlineStr">
        <is>
          <t>行驶中，副驾说话</t>
        </is>
      </c>
      <c r="D45" s="8" t="inlineStr">
        <is>
          <t>附近厕所在哪儿</t>
        </is>
      </c>
      <c r="E45" s="7" t="inlineStr">
        <is>
          <t>搜索附近公共卫生间</t>
        </is>
      </c>
      <c r="F45" s="7" t="inlineStr">
        <is>
          <t>列出附近卫生间及距离</t>
        </is>
      </c>
      <c r="G45" s="7" t="inlineStr">
        <is>
          <t>目的地/路线正确、任务完成且首响＜1.5s；需消歧时先追问不乱选</t>
        </is>
      </c>
      <c r="H45" s="9" t="n"/>
      <c r="I45" s="10" t="n"/>
      <c r="J45" s="10" t="n"/>
      <c r="K45" s="10" t="n"/>
      <c r="L45" s="7" t="inlineStr"/>
    </row>
    <row r="46" ht="30" customHeight="1">
      <c r="A46" s="11" t="inlineStr">
        <is>
          <t>B-17</t>
        </is>
      </c>
      <c r="B46" s="6" t="inlineStr">
        <is>
          <t>B 导航出行</t>
        </is>
      </c>
      <c r="C46" s="7" t="inlineStr">
        <is>
          <t>放学时段，主驾</t>
        </is>
      </c>
      <c r="D46" s="8" t="inlineStr">
        <is>
          <t>导航去学校接孩子</t>
        </is>
      </c>
      <c r="E46" s="7" t="inlineStr">
        <is>
          <t>导航至已存学校地址</t>
        </is>
      </c>
      <c r="F46" s="7" t="inlineStr">
        <is>
          <t>若未存地址应追问确认，不乱猜地点</t>
        </is>
      </c>
      <c r="G46" s="7" t="inlineStr">
        <is>
          <t>目的地/路线正确、任务完成且首响＜1.5s；需消歧时先追问不乱选</t>
        </is>
      </c>
      <c r="H46" s="9" t="n"/>
      <c r="I46" s="10" t="n"/>
      <c r="J46" s="10" t="n"/>
      <c r="K46" s="10" t="n"/>
      <c r="L46" s="7" t="inlineStr"/>
    </row>
    <row r="47" ht="30" customHeight="1">
      <c r="A47" s="11" t="inlineStr">
        <is>
          <t>B-18</t>
        </is>
      </c>
      <c r="B47" s="6" t="inlineStr">
        <is>
          <t>B 导航出行</t>
        </is>
      </c>
      <c r="C47" s="7" t="inlineStr">
        <is>
          <t>行驶中，主驾，已在导航</t>
        </is>
      </c>
      <c r="D47" s="8" t="inlineStr">
        <is>
          <t>重新规划路线</t>
        </is>
      </c>
      <c r="E47" s="7" t="inlineStr">
        <is>
          <t>重新规划当前路线</t>
        </is>
      </c>
      <c r="F47" s="7" t="inlineStr">
        <is>
          <t>重新计算路线并播报变化</t>
        </is>
      </c>
      <c r="G47" s="7" t="inlineStr">
        <is>
          <t>目的地/路线正确、任务完成且首响＜1.5s；需消歧时先追问不乱选</t>
        </is>
      </c>
      <c r="H47" s="9" t="n"/>
      <c r="I47" s="10" t="n"/>
      <c r="J47" s="10" t="n"/>
      <c r="K47" s="10" t="n"/>
      <c r="L47" s="7" t="inlineStr"/>
    </row>
    <row r="48" ht="30" customHeight="1">
      <c r="A48" s="11" t="inlineStr">
        <is>
          <t>B-19</t>
        </is>
      </c>
      <c r="B48" s="6" t="inlineStr">
        <is>
          <t>B 导航出行</t>
        </is>
      </c>
      <c r="C48" s="7" t="inlineStr">
        <is>
          <t>出发前，主驾</t>
        </is>
      </c>
      <c r="D48" s="8" t="inlineStr">
        <is>
          <t>导航去医院</t>
        </is>
      </c>
      <c r="E48" s="7" t="inlineStr">
        <is>
          <t>导航至医院（需确认哪家）</t>
        </is>
      </c>
      <c r="F48" s="7" t="inlineStr">
        <is>
          <t>多家医院时列出候选供选择，不直接定错</t>
        </is>
      </c>
      <c r="G48" s="7" t="inlineStr">
        <is>
          <t>目的地/路线正确、任务完成且首响＜1.5s；需消歧时先追问不乱选</t>
        </is>
      </c>
      <c r="H48" s="9" t="n"/>
      <c r="I48" s="10" t="n"/>
      <c r="J48" s="10" t="n"/>
      <c r="K48" s="10" t="n"/>
      <c r="L48" s="7" t="inlineStr"/>
    </row>
    <row r="49" ht="30" customHeight="1">
      <c r="A49" s="11" t="inlineStr">
        <is>
          <t>B-20</t>
        </is>
      </c>
      <c r="B49" s="6" t="inlineStr">
        <is>
          <t>B 导航出行</t>
        </is>
      </c>
      <c r="C49" s="7" t="inlineStr">
        <is>
          <t>行驶中，主驾</t>
        </is>
      </c>
      <c r="D49" s="8" t="inlineStr">
        <is>
          <t>查看实时路况</t>
        </is>
      </c>
      <c r="E49" s="7" t="inlineStr">
        <is>
          <t>显示实时路况</t>
        </is>
      </c>
      <c r="F49" s="7" t="inlineStr">
        <is>
          <t>地图显示路况或播报当前路段情况</t>
        </is>
      </c>
      <c r="G49" s="7" t="inlineStr">
        <is>
          <t>目的地/路线正确、任务完成且首响＜1.5s；需消歧时先追问不乱选</t>
        </is>
      </c>
      <c r="H49" s="9" t="n"/>
      <c r="I49" s="10" t="n"/>
      <c r="J49" s="10" t="n"/>
      <c r="K49" s="10" t="n"/>
      <c r="L49" s="7" t="inlineStr"/>
    </row>
    <row r="50" ht="30" customHeight="1">
      <c r="A50" s="11" t="inlineStr">
        <is>
          <t>B-21</t>
        </is>
      </c>
      <c r="B50" s="6" t="inlineStr">
        <is>
          <t>B 导航出行</t>
        </is>
      </c>
      <c r="C50" s="7" t="inlineStr">
        <is>
          <t>出发前，主驾</t>
        </is>
      </c>
      <c r="D50" s="8" t="inlineStr">
        <is>
          <t>把这个地方收藏一下</t>
        </is>
      </c>
      <c r="E50" s="7" t="inlineStr">
        <is>
          <t>收藏当前/目标地点</t>
        </is>
      </c>
      <c r="F50" s="7" t="inlineStr">
        <is>
          <t>收藏成功并确认名称</t>
        </is>
      </c>
      <c r="G50" s="7" t="inlineStr">
        <is>
          <t>目的地/路线正确、任务完成且首响＜1.5s；需消歧时先追问不乱选</t>
        </is>
      </c>
      <c r="H50" s="9" t="n"/>
      <c r="I50" s="10" t="n"/>
      <c r="J50" s="10" t="n"/>
      <c r="K50" s="10" t="n"/>
      <c r="L50" s="7" t="inlineStr"/>
    </row>
    <row r="51" ht="30" customHeight="1">
      <c r="A51" s="11" t="inlineStr">
        <is>
          <t>B-22</t>
        </is>
      </c>
      <c r="B51" s="6" t="inlineStr">
        <is>
          <t>B 导航出行</t>
        </is>
      </c>
      <c r="C51" s="7" t="inlineStr">
        <is>
          <t>行驶中，主驾，已在导航</t>
        </is>
      </c>
      <c r="D51" s="8" t="inlineStr">
        <is>
          <t>先去超市再回家</t>
        </is>
      </c>
      <c r="E51" s="7" t="inlineStr">
        <is>
          <t>途经点：超市→家</t>
        </is>
      </c>
      <c r="F51" s="7" t="inlineStr">
        <is>
          <t>添加超市为途经点，最终目的地仍为家</t>
        </is>
      </c>
      <c r="G51" s="7" t="inlineStr">
        <is>
          <t>目的地/路线正确、任务完成且首响＜1.5s；需消歧时先追问不乱选</t>
        </is>
      </c>
      <c r="H51" s="9" t="n"/>
      <c r="I51" s="10" t="n"/>
      <c r="J51" s="10" t="n"/>
      <c r="K51" s="10" t="n"/>
      <c r="L51" s="7" t="inlineStr"/>
    </row>
    <row r="52" ht="30" customHeight="1">
      <c r="A52" s="11" t="inlineStr">
        <is>
          <t>B-23</t>
        </is>
      </c>
      <c r="B52" s="6" t="inlineStr">
        <is>
          <t>B 导航出行</t>
        </is>
      </c>
      <c r="C52" s="7" t="inlineStr">
        <is>
          <t>行驶中，主驾</t>
        </is>
      </c>
      <c r="D52" s="8" t="inlineStr">
        <is>
          <t>前面有没有测速拍照</t>
        </is>
      </c>
      <c r="E52" s="7" t="inlineStr">
        <is>
          <t>查询前方测速提示</t>
        </is>
      </c>
      <c r="F52" s="7" t="inlineStr">
        <is>
          <t>按导航数据播报有无测速提醒</t>
        </is>
      </c>
      <c r="G52" s="7" t="inlineStr">
        <is>
          <t>目的地/路线正确、任务完成且首响＜1.5s；需消歧时先追问不乱选</t>
        </is>
      </c>
      <c r="H52" s="9" t="n"/>
      <c r="I52" s="10" t="n"/>
      <c r="J52" s="10" t="n"/>
      <c r="K52" s="10" t="n"/>
      <c r="L52" s="7" t="inlineStr"/>
    </row>
    <row r="53" ht="30" customHeight="1">
      <c r="A53" s="11" t="inlineStr">
        <is>
          <t>B-24</t>
        </is>
      </c>
      <c r="B53" s="6" t="inlineStr">
        <is>
          <t>B 导航出行</t>
        </is>
      </c>
      <c r="C53" s="7" t="inlineStr">
        <is>
          <t>出发前，主驾，新地点重名</t>
        </is>
      </c>
      <c r="D53" s="8" t="inlineStr">
        <is>
          <t>导航去万达广场</t>
        </is>
      </c>
      <c r="E53" s="7" t="inlineStr">
        <is>
          <t>导航至万达广场（消歧）</t>
        </is>
      </c>
      <c r="F53" s="7" t="inlineStr">
        <is>
          <t>多个同名地点时列出候选让用户选</t>
        </is>
      </c>
      <c r="G53" s="7" t="inlineStr">
        <is>
          <t>目的地/路线正确、任务完成且首响＜1.5s；需消歧时先追问不乱选</t>
        </is>
      </c>
      <c r="H53" s="9" t="n"/>
      <c r="I53" s="10" t="n"/>
      <c r="J53" s="10" t="n"/>
      <c r="K53" s="10" t="n"/>
      <c r="L53" s="7" t="inlineStr"/>
    </row>
    <row r="54" ht="30" customHeight="1">
      <c r="A54" s="11" t="inlineStr">
        <is>
          <t>B-25</t>
        </is>
      </c>
      <c r="B54" s="6" t="inlineStr">
        <is>
          <t>B 导航出行</t>
        </is>
      </c>
      <c r="C54" s="7" t="inlineStr">
        <is>
          <t>行驶中，主驾，已在导航</t>
        </is>
      </c>
      <c r="D54" s="8" t="inlineStr">
        <is>
          <t>结束导航，回家</t>
        </is>
      </c>
      <c r="E54" s="7" t="inlineStr">
        <is>
          <t>结束当前导航+导航回家</t>
        </is>
      </c>
      <c r="F54" s="7" t="inlineStr">
        <is>
          <t>旧导航结束，新回家路线开始</t>
        </is>
      </c>
      <c r="G54" s="7" t="inlineStr">
        <is>
          <t>目的地/路线正确、任务完成且首响＜1.5s；需消歧时先追问不乱选</t>
        </is>
      </c>
      <c r="H54" s="9" t="n"/>
      <c r="I54" s="10" t="n"/>
      <c r="J54" s="10" t="n"/>
      <c r="K54" s="10" t="n"/>
      <c r="L54" s="7" t="inlineStr"/>
    </row>
    <row r="55" ht="30" customHeight="1">
      <c r="A55" s="12" t="inlineStr">
        <is>
          <t>C-01</t>
        </is>
      </c>
      <c r="B55" s="6" t="inlineStr">
        <is>
          <t>C 多意图组合</t>
        </is>
      </c>
      <c r="C55" s="7" t="inlineStr">
        <is>
          <t>出发前，主驾，车内安静</t>
        </is>
      </c>
      <c r="D55" s="8" t="inlineStr">
        <is>
          <t>导航去公司，顺路找个充电桩，空调调到23度，打开座椅通风</t>
        </is>
      </c>
      <c r="E55" s="7" t="inlineStr">
        <is>
          <t>导航+途经充电桩+温度23℃+座椅通风</t>
        </is>
      </c>
      <c r="F55" s="7" t="inlineStr">
        <is>
          <t>四项全部执行，充电桩为途经点，顺序播报确认</t>
        </is>
      </c>
      <c r="G55" s="7" t="inlineStr">
        <is>
          <t>所列子意图全部执行、无遗漏无颠倒，首响＜1.5s，逐项确认</t>
        </is>
      </c>
      <c r="H55" s="9" t="n"/>
      <c r="I55" s="10" t="n"/>
      <c r="J55" s="10" t="n"/>
      <c r="K55" s="10" t="n"/>
      <c r="L55" s="7" t="inlineStr">
        <is>
          <t>JD多意图样例句，重点练</t>
        </is>
      </c>
    </row>
    <row r="56" ht="30" customHeight="1">
      <c r="A56" s="12" t="inlineStr">
        <is>
          <t>C-02</t>
        </is>
      </c>
      <c r="B56" s="6" t="inlineStr">
        <is>
          <t>C 多意图组合</t>
        </is>
      </c>
      <c r="C56" s="7" t="inlineStr">
        <is>
          <t>出发前，主驾</t>
        </is>
      </c>
      <c r="D56" s="8" t="inlineStr">
        <is>
          <t>打开车窗，播放音乐，导航回家</t>
        </is>
      </c>
      <c r="E56" s="7" t="inlineStr">
        <is>
          <t>开窗+播放音乐+导航回家</t>
        </is>
      </c>
      <c r="F56" s="7" t="inlineStr">
        <is>
          <t>三项全部执行，无遗漏</t>
        </is>
      </c>
      <c r="G56" s="7" t="inlineStr">
        <is>
          <t>所列子意图全部执行、无遗漏无颠倒，首响＜1.5s，逐项确认</t>
        </is>
      </c>
      <c r="H56" s="9" t="n"/>
      <c r="I56" s="10" t="n"/>
      <c r="J56" s="10" t="n"/>
      <c r="K56" s="10" t="n"/>
      <c r="L56" s="7" t="inlineStr"/>
    </row>
    <row r="57" ht="30" customHeight="1">
      <c r="A57" s="12" t="inlineStr">
        <is>
          <t>C-03</t>
        </is>
      </c>
      <c r="B57" s="6" t="inlineStr">
        <is>
          <t>C 多意图组合</t>
        </is>
      </c>
      <c r="C57" s="7" t="inlineStr">
        <is>
          <t>行驶中，主驾</t>
        </is>
      </c>
      <c r="D57" s="8" t="inlineStr">
        <is>
          <t>空调开大一点，放首轻音乐，声音小一点</t>
        </is>
      </c>
      <c r="E57" s="7" t="inlineStr">
        <is>
          <t>风量调高+播放轻音乐+音量调低</t>
        </is>
      </c>
      <c r="F57" s="7" t="inlineStr">
        <is>
          <t>三项执行，音乐类型为轻音乐</t>
        </is>
      </c>
      <c r="G57" s="7" t="inlineStr">
        <is>
          <t>所列子意图全部执行、无遗漏无颠倒，首响＜1.5s，逐项确认</t>
        </is>
      </c>
      <c r="H57" s="9" t="n"/>
      <c r="I57" s="10" t="n"/>
      <c r="J57" s="10" t="n"/>
      <c r="K57" s="10" t="n"/>
      <c r="L57" s="7" t="inlineStr"/>
    </row>
    <row r="58" ht="30" customHeight="1">
      <c r="A58" s="12" t="inlineStr">
        <is>
          <t>C-04</t>
        </is>
      </c>
      <c r="B58" s="6" t="inlineStr">
        <is>
          <t>C 多意图组合</t>
        </is>
      </c>
      <c r="C58" s="7" t="inlineStr">
        <is>
          <t>冬季出发前，主驾</t>
        </is>
      </c>
      <c r="D58" s="8" t="inlineStr">
        <is>
          <t>打开座椅加热和方向盘加热，导航去单位</t>
        </is>
      </c>
      <c r="E58" s="7" t="inlineStr">
        <is>
          <t>座椅加热+方向盘加热+导航</t>
        </is>
      </c>
      <c r="F58" s="7" t="inlineStr">
        <is>
          <t>三项全部执行</t>
        </is>
      </c>
      <c r="G58" s="7" t="inlineStr">
        <is>
          <t>所列子意图全部执行、无遗漏无颠倒，首响＜1.5s，逐项确认</t>
        </is>
      </c>
      <c r="H58" s="9" t="n"/>
      <c r="I58" s="10" t="n"/>
      <c r="J58" s="10" t="n"/>
      <c r="K58" s="10" t="n"/>
      <c r="L58" s="7" t="inlineStr"/>
    </row>
    <row r="59" ht="30" customHeight="1">
      <c r="A59" s="12" t="inlineStr">
        <is>
          <t>C-05</t>
        </is>
      </c>
      <c r="B59" s="6" t="inlineStr">
        <is>
          <t>C 多意图组合</t>
        </is>
      </c>
      <c r="C59" s="7" t="inlineStr">
        <is>
          <t>行驶中，主驾</t>
        </is>
      </c>
      <c r="D59" s="8" t="inlineStr">
        <is>
          <t>导航去机场，路上找个咖啡店停一下，空调别太冷，调到24度</t>
        </is>
      </c>
      <c r="E59" s="7" t="inlineStr">
        <is>
          <t>导航机场+途经咖啡店+温度24℃</t>
        </is>
      </c>
      <c r="F59" s="7" t="inlineStr">
        <is>
          <t>咖啡店为途经点，温度设24℃</t>
        </is>
      </c>
      <c r="G59" s="7" t="inlineStr">
        <is>
          <t>所列子意图全部执行、无遗漏无颠倒，首响＜1.5s，逐项确认</t>
        </is>
      </c>
      <c r="H59" s="9" t="n"/>
      <c r="I59" s="10" t="n"/>
      <c r="J59" s="10" t="n"/>
      <c r="K59" s="10" t="n"/>
      <c r="L59" s="7" t="inlineStr"/>
    </row>
    <row r="60" ht="30" customHeight="1">
      <c r="A60" s="12" t="inlineStr">
        <is>
          <t>C-06</t>
        </is>
      </c>
      <c r="B60" s="6" t="inlineStr">
        <is>
          <t>C 多意图组合</t>
        </is>
      </c>
      <c r="C60" s="7" t="inlineStr">
        <is>
          <t>出发前，主驾</t>
        </is>
      </c>
      <c r="D60" s="8" t="inlineStr">
        <is>
          <t>关上车窗，打开空调，播放周杰伦的歌</t>
        </is>
      </c>
      <c r="E60" s="7" t="inlineStr">
        <is>
          <t>关窗+开空调+播放指定歌手歌曲</t>
        </is>
      </c>
      <c r="F60" s="7" t="inlineStr">
        <is>
          <t>播放歌手为周杰伦，不播错人</t>
        </is>
      </c>
      <c r="G60" s="7" t="inlineStr">
        <is>
          <t>所列子意图全部执行、无遗漏无颠倒，首响＜1.5s，逐项确认</t>
        </is>
      </c>
      <c r="H60" s="9" t="n"/>
      <c r="I60" s="10" t="n"/>
      <c r="J60" s="10" t="n"/>
      <c r="K60" s="10" t="n"/>
      <c r="L60" s="7" t="inlineStr"/>
    </row>
    <row r="61" ht="30" customHeight="1">
      <c r="A61" s="12" t="inlineStr">
        <is>
          <t>C-07</t>
        </is>
      </c>
      <c r="B61" s="6" t="inlineStr">
        <is>
          <t>C 多意图组合</t>
        </is>
      </c>
      <c r="C61" s="7" t="inlineStr">
        <is>
          <t>行驶中，主驾</t>
        </is>
      </c>
      <c r="D61" s="8" t="inlineStr">
        <is>
          <t>去最近的充电桩充电，顺便把胎压看一下</t>
        </is>
      </c>
      <c r="E61" s="7" t="inlineStr">
        <is>
          <t>导航充电桩+查询胎压</t>
        </is>
      </c>
      <c r="F61" s="7" t="inlineStr">
        <is>
          <t>导航开始并播报四轮胎压</t>
        </is>
      </c>
      <c r="G61" s="7" t="inlineStr">
        <is>
          <t>所列子意图全部执行、无遗漏无颠倒，首响＜1.5s，逐项确认</t>
        </is>
      </c>
      <c r="H61" s="9" t="n"/>
      <c r="I61" s="10" t="n"/>
      <c r="J61" s="10" t="n"/>
      <c r="K61" s="10" t="n"/>
      <c r="L61" s="7" t="inlineStr"/>
    </row>
    <row r="62" ht="30" customHeight="1">
      <c r="A62" s="12" t="inlineStr">
        <is>
          <t>C-08</t>
        </is>
      </c>
      <c r="B62" s="6" t="inlineStr">
        <is>
          <t>C 多意图组合</t>
        </is>
      </c>
      <c r="C62" s="7" t="inlineStr">
        <is>
          <t>行驶中，副驾</t>
        </is>
      </c>
      <c r="D62" s="8" t="inlineStr">
        <is>
          <t>打开副驾座椅按摩，空调风别对着我吹</t>
        </is>
      </c>
      <c r="E62" s="7" t="inlineStr">
        <is>
          <t>副驾座椅按摩+调整出风方向</t>
        </is>
      </c>
      <c r="F62" s="7" t="inlineStr">
        <is>
          <t>作用对象为副驾，不改主驾设置</t>
        </is>
      </c>
      <c r="G62" s="7" t="inlineStr">
        <is>
          <t>所列子意图全部执行、无遗漏无颠倒，首响＜1.5s，逐项确认</t>
        </is>
      </c>
      <c r="H62" s="9" t="n"/>
      <c r="I62" s="10" t="n"/>
      <c r="J62" s="10" t="n"/>
      <c r="K62" s="10" t="n"/>
      <c r="L62" s="7" t="inlineStr"/>
    </row>
    <row r="63" ht="30" customHeight="1">
      <c r="A63" s="12" t="inlineStr">
        <is>
          <t>C-09</t>
        </is>
      </c>
      <c r="B63" s="6" t="inlineStr">
        <is>
          <t>C 多意图组合</t>
        </is>
      </c>
      <c r="C63" s="7" t="inlineStr">
        <is>
          <t>长途出发前，主驾</t>
        </is>
      </c>
      <c r="D63" s="8" t="inlineStr">
        <is>
          <t>导航去北京，走高速，打开定速巡航提醒，播放播客</t>
        </is>
      </c>
      <c r="E63" s="7" t="inlineStr">
        <is>
          <t>导航+高速优先+驾驶辅助提示+播客</t>
        </is>
      </c>
      <c r="F63" s="7" t="inlineStr">
        <is>
          <t>路线为高速优先，播客开始播放</t>
        </is>
      </c>
      <c r="G63" s="7" t="inlineStr">
        <is>
          <t>所列子意图全部执行、无遗漏无颠倒，首响＜1.5s，逐项确认</t>
        </is>
      </c>
      <c r="H63" s="9" t="n"/>
      <c r="I63" s="10" t="n"/>
      <c r="J63" s="10" t="n"/>
      <c r="K63" s="10" t="n"/>
      <c r="L63" s="7" t="inlineStr"/>
    </row>
    <row r="64" ht="30" customHeight="1">
      <c r="A64" s="12" t="inlineStr">
        <is>
          <t>C-10</t>
        </is>
      </c>
      <c r="B64" s="6" t="inlineStr">
        <is>
          <t>C 多意图组合</t>
        </is>
      </c>
      <c r="C64" s="7" t="inlineStr">
        <is>
          <t>行驶中，主驾</t>
        </is>
      </c>
      <c r="D64" s="8" t="inlineStr">
        <is>
          <t>把音乐暂停，导航声音调大一点，告诉我还有多久到</t>
        </is>
      </c>
      <c r="E64" s="7" t="inlineStr">
        <is>
          <t>暂停音乐+导航音量调高+查询ETA</t>
        </is>
      </c>
      <c r="F64" s="7" t="inlineStr">
        <is>
          <t>音乐暂停，播报剩余时间</t>
        </is>
      </c>
      <c r="G64" s="7" t="inlineStr">
        <is>
          <t>所列子意图全部执行、无遗漏无颠倒，首响＜1.5s，逐项确认</t>
        </is>
      </c>
      <c r="H64" s="9" t="n"/>
      <c r="I64" s="10" t="n"/>
      <c r="J64" s="10" t="n"/>
      <c r="K64" s="10" t="n"/>
      <c r="L64" s="7" t="inlineStr"/>
    </row>
    <row r="65" ht="30" customHeight="1">
      <c r="A65" s="12" t="inlineStr">
        <is>
          <t>C-11</t>
        </is>
      </c>
      <c r="B65" s="6" t="inlineStr">
        <is>
          <t>C 多意图组合</t>
        </is>
      </c>
      <c r="C65" s="7" t="inlineStr">
        <is>
          <t>行驶中，主驾</t>
        </is>
      </c>
      <c r="D65" s="8" t="inlineStr">
        <is>
          <t>天窗打开，氛围灯调暖一点，再报一下天气</t>
        </is>
      </c>
      <c r="E65" s="7" t="inlineStr">
        <is>
          <t>开天窗+氛围灯暖色+查询天气</t>
        </is>
      </c>
      <c r="F65" s="7" t="inlineStr">
        <is>
          <t>三项执行，天气为当前城市</t>
        </is>
      </c>
      <c r="G65" s="7" t="inlineStr">
        <is>
          <t>所列子意图全部执行、无遗漏无颠倒，首响＜1.5s，逐项确认</t>
        </is>
      </c>
      <c r="H65" s="9" t="n"/>
      <c r="I65" s="10" t="n"/>
      <c r="J65" s="10" t="n"/>
      <c r="K65" s="10" t="n"/>
      <c r="L65" s="7" t="inlineStr"/>
    </row>
    <row r="66" ht="30" customHeight="1">
      <c r="A66" s="12" t="inlineStr">
        <is>
          <t>C-12</t>
        </is>
      </c>
      <c r="B66" s="6" t="inlineStr">
        <is>
          <t>C 多意图组合</t>
        </is>
      </c>
      <c r="C66" s="7" t="inlineStr">
        <is>
          <t>接孩子出发前，主驾</t>
        </is>
      </c>
      <c r="D66" s="8" t="inlineStr">
        <is>
          <t>导航去学校，后排屏幕打开，空调调到22度</t>
        </is>
      </c>
      <c r="E66" s="7" t="inlineStr">
        <is>
          <t>导航学校+后排屏开启+温度22℃</t>
        </is>
      </c>
      <c r="F66" s="7" t="inlineStr">
        <is>
          <t>三项全部执行</t>
        </is>
      </c>
      <c r="G66" s="7" t="inlineStr">
        <is>
          <t>所列子意图全部执行、无遗漏无颠倒，首响＜1.5s，逐项确认</t>
        </is>
      </c>
      <c r="H66" s="9" t="n"/>
      <c r="I66" s="10" t="n"/>
      <c r="J66" s="10" t="n"/>
      <c r="K66" s="10" t="n"/>
      <c r="L66" s="7" t="inlineStr"/>
    </row>
    <row r="67" ht="30" customHeight="1">
      <c r="A67" s="12" t="inlineStr">
        <is>
          <t>C-13</t>
        </is>
      </c>
      <c r="B67" s="6" t="inlineStr">
        <is>
          <t>C 多意图组合</t>
        </is>
      </c>
      <c r="C67" s="7" t="inlineStr">
        <is>
          <t>行驶中，主驾</t>
        </is>
      </c>
      <c r="D67" s="8" t="inlineStr">
        <is>
          <t>找附近的停车场和洗车店，哪个更近</t>
        </is>
      </c>
      <c r="E67" s="7" t="inlineStr">
        <is>
          <t>搜索停车场+洗车店并对比距离</t>
        </is>
      </c>
      <c r="F67" s="7" t="inlineStr">
        <is>
          <t>对比两者距离并给出更近的一个</t>
        </is>
      </c>
      <c r="G67" s="7" t="inlineStr">
        <is>
          <t>所列子意图全部执行、无遗漏无颠倒，首响＜1.5s，逐项确认</t>
        </is>
      </c>
      <c r="H67" s="9" t="n"/>
      <c r="I67" s="10" t="n"/>
      <c r="J67" s="10" t="n"/>
      <c r="K67" s="10" t="n"/>
      <c r="L67" s="7" t="inlineStr"/>
    </row>
    <row r="68" ht="30" customHeight="1">
      <c r="A68" s="12" t="inlineStr">
        <is>
          <t>C-14</t>
        </is>
      </c>
      <c r="B68" s="6" t="inlineStr">
        <is>
          <t>C 多意图组合</t>
        </is>
      </c>
      <c r="C68" s="7" t="inlineStr">
        <is>
          <t>行驶中，主驾</t>
        </is>
      </c>
      <c r="D68" s="8" t="inlineStr">
        <is>
          <t>打开除雾，雨刮开自动，车灯打开</t>
        </is>
      </c>
      <c r="E68" s="7" t="inlineStr">
        <is>
          <t>除雾+自动雨刮+开车灯</t>
        </is>
      </c>
      <c r="F68" s="7" t="inlineStr">
        <is>
          <t>三项全部执行</t>
        </is>
      </c>
      <c r="G68" s="7" t="inlineStr">
        <is>
          <t>所列子意图全部执行、无遗漏无颠倒，首响＜1.5s，逐项确认</t>
        </is>
      </c>
      <c r="H68" s="9" t="n"/>
      <c r="I68" s="10" t="n"/>
      <c r="J68" s="10" t="n"/>
      <c r="K68" s="10" t="n"/>
      <c r="L68" s="7" t="inlineStr"/>
    </row>
    <row r="69" ht="30" customHeight="1">
      <c r="A69" s="12" t="inlineStr">
        <is>
          <t>C-15</t>
        </is>
      </c>
      <c r="B69" s="6" t="inlineStr">
        <is>
          <t>C 多意图组合</t>
        </is>
      </c>
      <c r="C69" s="7" t="inlineStr">
        <is>
          <t>出发前，主驾</t>
        </is>
      </c>
      <c r="D69" s="8" t="inlineStr">
        <is>
          <t>给家里打个电话，顺便导航回家</t>
        </is>
      </c>
      <c r="E69" s="7" t="inlineStr">
        <is>
          <t>拨打电话（家人）+导航回家</t>
        </is>
      </c>
      <c r="F69" s="7" t="inlineStr">
        <is>
          <t>电话对象正确，导航同时开始</t>
        </is>
      </c>
      <c r="G69" s="7" t="inlineStr">
        <is>
          <t>所列子意图全部执行、无遗漏无颠倒，首响＜1.5s，逐项确认</t>
        </is>
      </c>
      <c r="H69" s="9" t="n"/>
      <c r="I69" s="10" t="n"/>
      <c r="J69" s="10" t="n"/>
      <c r="K69" s="10" t="n"/>
      <c r="L69" s="7" t="inlineStr"/>
    </row>
    <row r="70" ht="30" customHeight="1">
      <c r="A70" s="12" t="inlineStr">
        <is>
          <t>C-16</t>
        </is>
      </c>
      <c r="B70" s="6" t="inlineStr">
        <is>
          <t>C 多意图组合</t>
        </is>
      </c>
      <c r="C70" s="7" t="inlineStr">
        <is>
          <t>行驶中，主驾</t>
        </is>
      </c>
      <c r="D70" s="8" t="inlineStr">
        <is>
          <t>音乐换成摇滚，音量调高，关掉座椅通风</t>
        </is>
      </c>
      <c r="E70" s="7" t="inlineStr">
        <is>
          <t>切换音乐风格+音量调高+关通风</t>
        </is>
      </c>
      <c r="F70" s="7" t="inlineStr">
        <is>
          <t>三项执行，无多余动作</t>
        </is>
      </c>
      <c r="G70" s="7" t="inlineStr">
        <is>
          <t>所列子意图全部执行、无遗漏无颠倒，首响＜1.5s，逐项确认</t>
        </is>
      </c>
      <c r="H70" s="9" t="n"/>
      <c r="I70" s="10" t="n"/>
      <c r="J70" s="10" t="n"/>
      <c r="K70" s="10" t="n"/>
      <c r="L70" s="7" t="inlineStr"/>
    </row>
    <row r="71" ht="30" customHeight="1">
      <c r="A71" s="12" t="inlineStr">
        <is>
          <t>C-17</t>
        </is>
      </c>
      <c r="B71" s="6" t="inlineStr">
        <is>
          <t>C 多意图组合</t>
        </is>
      </c>
      <c r="C71" s="7" t="inlineStr">
        <is>
          <t>行驶中，主驾，电量低</t>
        </is>
      </c>
      <c r="D71" s="8" t="inlineStr">
        <is>
          <t>找快充桩，导航过去，再看看续航还剩多少</t>
        </is>
      </c>
      <c r="E71" s="7" t="inlineStr">
        <is>
          <t>搜索快充+导航+查询续航</t>
        </is>
      </c>
      <c r="F71" s="7" t="inlineStr">
        <is>
          <t>播报剩余续航/电量百分比</t>
        </is>
      </c>
      <c r="G71" s="7" t="inlineStr">
        <is>
          <t>所列子意图全部执行、无遗漏无颠倒，首响＜1.5s，逐项确认</t>
        </is>
      </c>
      <c r="H71" s="9" t="n"/>
      <c r="I71" s="10" t="n"/>
      <c r="J71" s="10" t="n"/>
      <c r="K71" s="10" t="n"/>
      <c r="L71" s="7" t="inlineStr"/>
    </row>
    <row r="72" ht="30" customHeight="1">
      <c r="A72" s="12" t="inlineStr">
        <is>
          <t>C-18</t>
        </is>
      </c>
      <c r="B72" s="6" t="inlineStr">
        <is>
          <t>C 多意图组合</t>
        </is>
      </c>
      <c r="C72" s="7" t="inlineStr">
        <is>
          <t>晚间行驶，主驾</t>
        </is>
      </c>
      <c r="D72" s="8" t="inlineStr">
        <is>
          <t>屏幕调暗，氛围灯打开，播放助眠的轻音乐</t>
        </is>
      </c>
      <c r="E72" s="7" t="inlineStr">
        <is>
          <t>亮度调低+氛围灯开+轻音乐</t>
        </is>
      </c>
      <c r="F72" s="7" t="inlineStr">
        <is>
          <t>三项执行，亮度确实降低</t>
        </is>
      </c>
      <c r="G72" s="7" t="inlineStr">
        <is>
          <t>所列子意图全部执行、无遗漏无颠倒，首响＜1.5s，逐项确认</t>
        </is>
      </c>
      <c r="H72" s="9" t="n"/>
      <c r="I72" s="10" t="n"/>
      <c r="J72" s="10" t="n"/>
      <c r="K72" s="10" t="n"/>
      <c r="L72" s="7" t="inlineStr"/>
    </row>
    <row r="73" ht="30" customHeight="1">
      <c r="A73" s="12" t="inlineStr">
        <is>
          <t>C-19</t>
        </is>
      </c>
      <c r="B73" s="6" t="inlineStr">
        <is>
          <t>C 多意图组合</t>
        </is>
      </c>
      <c r="C73" s="7" t="inlineStr">
        <is>
          <t>行驶中，主驾</t>
        </is>
      </c>
      <c r="D73" s="8" t="inlineStr">
        <is>
          <t>导航去高铁站，避开限行，把到达时间发给家人</t>
        </is>
      </c>
      <c r="E73" s="7" t="inlineStr">
        <is>
          <t>导航+避限行路线+分享ETA</t>
        </is>
      </c>
      <c r="F73" s="7" t="inlineStr">
        <is>
          <t>路线避限行，分享动作需确认对象后执行</t>
        </is>
      </c>
      <c r="G73" s="7" t="inlineStr">
        <is>
          <t>所列子意图全部执行、无遗漏无颠倒，首响＜1.5s，逐项确认</t>
        </is>
      </c>
      <c r="H73" s="9" t="n"/>
      <c r="I73" s="10" t="n"/>
      <c r="J73" s="10" t="n"/>
      <c r="K73" s="10" t="n"/>
      <c r="L73" s="7" t="inlineStr"/>
    </row>
    <row r="74" ht="30" customHeight="1">
      <c r="A74" s="12" t="inlineStr">
        <is>
          <t>C-20</t>
        </is>
      </c>
      <c r="B74" s="6" t="inlineStr">
        <is>
          <t>C 多意图组合</t>
        </is>
      </c>
      <c r="C74" s="7" t="inlineStr">
        <is>
          <t>出发前，主驾，多项冲突指令</t>
        </is>
      </c>
      <c r="D74" s="8" t="inlineStr">
        <is>
          <t>打开车窗，又说关上车窗，打开空调</t>
        </is>
      </c>
      <c r="E74" s="7" t="inlineStr">
        <is>
          <t>以最后指令为准：关窗+开空调</t>
        </is>
      </c>
      <c r="F74" s="7" t="inlineStr">
        <is>
          <t>不执行已被推翻的开窗，关窗+开空调</t>
        </is>
      </c>
      <c r="G74" s="7" t="inlineStr">
        <is>
          <t>所列子意图全部执行、无遗漏无颠倒，首响＜1.5s，逐项确认</t>
        </is>
      </c>
      <c r="H74" s="9" t="n"/>
      <c r="I74" s="10" t="n"/>
      <c r="J74" s="10" t="n"/>
      <c r="K74" s="10" t="n"/>
      <c r="L74" s="7" t="inlineStr"/>
    </row>
    <row r="75" ht="30" customHeight="1">
      <c r="A75" s="13" t="inlineStr">
        <is>
          <t>D-01</t>
        </is>
      </c>
      <c r="B75" s="6" t="inlineStr">
        <is>
          <t>D 打断与纠错</t>
        </is>
      </c>
      <c r="C75" s="7" t="inlineStr">
        <is>
          <t>导航播报长路线中途，主驾打断</t>
        </is>
      </c>
      <c r="D75" s="8" t="inlineStr">
        <is>
          <t>停，我不去那儿了，改去机场</t>
        </is>
      </c>
      <c r="E75" s="7" t="inlineStr">
        <is>
          <t>打断播报+取消原目的地+改导航机场</t>
        </is>
      </c>
      <c r="F75" s="7" t="inlineStr">
        <is>
          <t>旧播报立即停，新导航为机场</t>
        </is>
      </c>
      <c r="G75" s="7" t="inlineStr">
        <is>
          <t>播报在0.5s内停止(bargen-in)、只执行最新意图，旧意图不残留</t>
        </is>
      </c>
      <c r="H75" s="9" t="n"/>
      <c r="I75" s="10" t="n"/>
      <c r="J75" s="10" t="n"/>
      <c r="K75" s="10" t="n"/>
      <c r="L75" s="7" t="inlineStr">
        <is>
          <t>JD打断样例句，重点练</t>
        </is>
      </c>
    </row>
    <row r="76" ht="30" customHeight="1">
      <c r="A76" s="13" t="inlineStr">
        <is>
          <t>D-02</t>
        </is>
      </c>
      <c r="B76" s="6" t="inlineStr">
        <is>
          <t>D 打断与纠错</t>
        </is>
      </c>
      <c r="C76" s="7" t="inlineStr">
        <is>
          <t>系统列出3个同名地点后，主驾</t>
        </is>
      </c>
      <c r="D76" s="8" t="inlineStr">
        <is>
          <t>不对，是第二个</t>
        </is>
      </c>
      <c r="E76" s="7" t="inlineStr">
        <is>
          <t>选择候选列表第2项</t>
        </is>
      </c>
      <c r="F76" s="7" t="inlineStr">
        <is>
          <t>选中第2项并继续，不选第1/3项</t>
        </is>
      </c>
      <c r="G76" s="7" t="inlineStr">
        <is>
          <t>播报在0.5s内停止(bargen-in)、只执行最新意图，旧意图不残留</t>
        </is>
      </c>
      <c r="H76" s="9" t="n"/>
      <c r="I76" s="10" t="n"/>
      <c r="J76" s="10" t="n"/>
      <c r="K76" s="10" t="n"/>
      <c r="L76" s="7" t="inlineStr">
        <is>
          <t>候选选择类纠错高频考点</t>
        </is>
      </c>
    </row>
    <row r="77" ht="30" customHeight="1">
      <c r="A77" s="13" t="inlineStr">
        <is>
          <t>D-03</t>
        </is>
      </c>
      <c r="B77" s="6" t="inlineStr">
        <is>
          <t>D 打断与纠错</t>
        </is>
      </c>
      <c r="C77" s="7" t="inlineStr">
        <is>
          <t>音乐大声播放中，主驾</t>
        </is>
      </c>
      <c r="D77" s="8" t="inlineStr">
        <is>
          <t>停，别放了</t>
        </is>
      </c>
      <c r="E77" s="7" t="inlineStr">
        <is>
          <t>停止音乐播放</t>
        </is>
      </c>
      <c r="F77" s="7" t="inlineStr">
        <is>
          <t>音乐停止，不误触导航</t>
        </is>
      </c>
      <c r="G77" s="7" t="inlineStr">
        <is>
          <t>播报在0.5s内停止(bargen-in)、只执行最新意图，旧意图不残留</t>
        </is>
      </c>
      <c r="H77" s="9" t="n"/>
      <c r="I77" s="10" t="n"/>
      <c r="J77" s="10" t="n"/>
      <c r="K77" s="10" t="n"/>
      <c r="L77" s="7" t="inlineStr"/>
    </row>
    <row r="78" ht="30" customHeight="1">
      <c r="A78" s="13" t="inlineStr">
        <is>
          <t>D-04</t>
        </is>
      </c>
      <c r="B78" s="6" t="inlineStr">
        <is>
          <t>D 打断与纠错</t>
        </is>
      </c>
      <c r="C78" s="7" t="inlineStr">
        <is>
          <t>空调已调至26度后，主驾</t>
        </is>
      </c>
      <c r="D78" s="8" t="inlineStr">
        <is>
          <t>不对，太热了，调到22度</t>
        </is>
      </c>
      <c r="E78" s="7" t="inlineStr">
        <is>
          <t>纠错：温度改为22℃</t>
        </is>
      </c>
      <c r="F78" s="7" t="inlineStr">
        <is>
          <t>温度由26改为22，不叠加调低</t>
        </is>
      </c>
      <c r="G78" s="7" t="inlineStr">
        <is>
          <t>播报在0.5s内停止(bargen-in)、只执行最新意图，旧意图不残留</t>
        </is>
      </c>
      <c r="H78" s="9" t="n"/>
      <c r="I78" s="10" t="n"/>
      <c r="J78" s="10" t="n"/>
      <c r="K78" s="10" t="n"/>
      <c r="L78" s="7" t="inlineStr"/>
    </row>
    <row r="79" ht="30" customHeight="1">
      <c r="A79" s="13" t="inlineStr">
        <is>
          <t>D-05</t>
        </is>
      </c>
      <c r="B79" s="6" t="inlineStr">
        <is>
          <t>D 打断与纠错</t>
        </is>
      </c>
      <c r="C79" s="7" t="inlineStr">
        <is>
          <t>导航播报中，主驾</t>
        </is>
      </c>
      <c r="D79" s="8" t="inlineStr">
        <is>
          <t>等一下，先别说话</t>
        </is>
      </c>
      <c r="E79" s="7" t="inlineStr">
        <is>
          <t>暂停语音播报</t>
        </is>
      </c>
      <c r="F79" s="7" t="inlineStr">
        <is>
          <t>播报暂停，导航本身继续</t>
        </is>
      </c>
      <c r="G79" s="7" t="inlineStr">
        <is>
          <t>播报在0.5s内停止(bargen-in)、只执行最新意图，旧意图不残留</t>
        </is>
      </c>
      <c r="H79" s="9" t="n"/>
      <c r="I79" s="10" t="n"/>
      <c r="J79" s="10" t="n"/>
      <c r="K79" s="10" t="n"/>
      <c r="L79" s="7" t="inlineStr"/>
    </row>
    <row r="80" ht="30" customHeight="1">
      <c r="A80" s="13" t="inlineStr">
        <is>
          <t>D-06</t>
        </is>
      </c>
      <c r="B80" s="6" t="inlineStr">
        <is>
          <t>D 打断与纠错</t>
        </is>
      </c>
      <c r="C80" s="7" t="inlineStr">
        <is>
          <t>刚下达导航去公司后，主驾</t>
        </is>
      </c>
      <c r="D80" s="8" t="inlineStr">
        <is>
          <t>算了，不去了，取消吧</t>
        </is>
      </c>
      <c r="E80" s="7" t="inlineStr">
        <is>
          <t>撤销上一指令：取消导航</t>
        </is>
      </c>
      <c r="F80" s="7" t="inlineStr">
        <is>
          <t>导航取消，不再规划公司路线</t>
        </is>
      </c>
      <c r="G80" s="7" t="inlineStr">
        <is>
          <t>播报在0.5s内停止(bargen-in)、只执行最新意图，旧意图不残留</t>
        </is>
      </c>
      <c r="H80" s="9" t="n"/>
      <c r="I80" s="10" t="n"/>
      <c r="J80" s="10" t="n"/>
      <c r="K80" s="10" t="n"/>
      <c r="L80" s="7" t="inlineStr"/>
    </row>
    <row r="81" ht="30" customHeight="1">
      <c r="A81" s="13" t="inlineStr">
        <is>
          <t>D-07</t>
        </is>
      </c>
      <c r="B81" s="6" t="inlineStr">
        <is>
          <t>D 打断与纠错</t>
        </is>
      </c>
      <c r="C81" s="7" t="inlineStr">
        <is>
          <t>系统把‘哈尔滨站’识别成‘哈尔滨饭店’后，主驾</t>
        </is>
      </c>
      <c r="D81" s="8" t="inlineStr">
        <is>
          <t>我说的是哈尔滨站，不是饭店</t>
        </is>
      </c>
      <c r="E81" s="7" t="inlineStr">
        <is>
          <t>纠正识别错误地点</t>
        </is>
      </c>
      <c r="F81" s="7" t="inlineStr">
        <is>
          <t>目的地更正为哈尔滨站并重新规划</t>
        </is>
      </c>
      <c r="G81" s="7" t="inlineStr">
        <is>
          <t>播报在0.5s内停止(bargen-in)、只执行最新意图，旧意图不残留</t>
        </is>
      </c>
      <c r="H81" s="9" t="n"/>
      <c r="I81" s="10" t="n"/>
      <c r="J81" s="10" t="n"/>
      <c r="K81" s="10" t="n"/>
      <c r="L81" s="7" t="inlineStr"/>
    </row>
    <row r="82" ht="30" customHeight="1">
      <c r="A82" s="13" t="inlineStr">
        <is>
          <t>D-08</t>
        </is>
      </c>
      <c r="B82" s="6" t="inlineStr">
        <is>
          <t>D 打断与纠错</t>
        </is>
      </c>
      <c r="C82" s="7" t="inlineStr">
        <is>
          <t>播放歌曲中，主驾</t>
        </is>
      </c>
      <c r="D82" s="8" t="inlineStr">
        <is>
          <t>不是这首，换下一首</t>
        </is>
      </c>
      <c r="E82" s="7" t="inlineStr">
        <is>
          <t>切换下一首歌曲</t>
        </is>
      </c>
      <c r="F82" s="7" t="inlineStr">
        <is>
          <t>切至下一首，不重播当前</t>
        </is>
      </c>
      <c r="G82" s="7" t="inlineStr">
        <is>
          <t>播报在0.5s内停止(bargen-in)、只执行最新意图，旧意图不残留</t>
        </is>
      </c>
      <c r="H82" s="9" t="n"/>
      <c r="I82" s="10" t="n"/>
      <c r="J82" s="10" t="n"/>
      <c r="K82" s="10" t="n"/>
      <c r="L82" s="7" t="inlineStr"/>
    </row>
    <row r="83" ht="30" customHeight="1">
      <c r="A83" s="13" t="inlineStr">
        <is>
          <t>D-09</t>
        </is>
      </c>
      <c r="B83" s="6" t="inlineStr">
        <is>
          <t>D 打断与纠错</t>
        </is>
      </c>
      <c r="C83" s="7" t="inlineStr">
        <is>
          <t>风量已开最大，主驾连说</t>
        </is>
      </c>
      <c r="D83" s="8" t="inlineStr">
        <is>
          <t>小一点，小一点，再小一点</t>
        </is>
      </c>
      <c r="E83" s="7" t="inlineStr">
        <is>
          <t>连续纠正：风量连降</t>
        </is>
      </c>
      <c r="F83" s="7" t="inlineStr">
        <is>
          <t>风量累计下调约3档，不只降1档</t>
        </is>
      </c>
      <c r="G83" s="7" t="inlineStr">
        <is>
          <t>播报在0.5s内停止(bargen-in)、只执行最新意图，旧意图不残留</t>
        </is>
      </c>
      <c r="H83" s="9" t="n"/>
      <c r="I83" s="10" t="n"/>
      <c r="J83" s="10" t="n"/>
      <c r="K83" s="10" t="n"/>
      <c r="L83" s="7" t="inlineStr"/>
    </row>
    <row r="84" ht="30" customHeight="1">
      <c r="A84" s="13" t="inlineStr">
        <is>
          <t>D-10</t>
        </is>
      </c>
      <c r="B84" s="6" t="inlineStr">
        <is>
          <t>D 打断与纠错</t>
        </is>
      </c>
      <c r="C84" s="7" t="inlineStr">
        <is>
          <t>导航播报到达时间时，主驾插话</t>
        </is>
      </c>
      <c r="D84" s="8" t="inlineStr">
        <is>
          <t>打断一下，现在几点了</t>
        </is>
      </c>
      <c r="E84" s="7" t="inlineStr">
        <is>
          <t>打断播报+查询时间</t>
        </is>
      </c>
      <c r="F84" s="7" t="inlineStr">
        <is>
          <t>播报停，回答当前时间，之后可续导航</t>
        </is>
      </c>
      <c r="G84" s="7" t="inlineStr">
        <is>
          <t>播报在0.5s内停止(bargen-in)、只执行最新意图，旧意图不残留</t>
        </is>
      </c>
      <c r="H84" s="9" t="n"/>
      <c r="I84" s="10" t="n"/>
      <c r="J84" s="10" t="n"/>
      <c r="K84" s="10" t="n"/>
      <c r="L84" s="7" t="inlineStr"/>
    </row>
    <row r="85" ht="30" customHeight="1">
      <c r="A85" s="13" t="inlineStr">
        <is>
          <t>D-11</t>
        </is>
      </c>
      <c r="B85" s="6" t="inlineStr">
        <is>
          <t>D 打断与纠错</t>
        </is>
      </c>
      <c r="C85" s="7" t="inlineStr">
        <is>
          <t>座椅加热开至3档后，主驾</t>
        </is>
      </c>
      <c r="D85" s="8" t="inlineStr">
        <is>
          <t>太烫了，关了吧</t>
        </is>
      </c>
      <c r="E85" s="7" t="inlineStr">
        <is>
          <t>纠正过热：关闭座椅加热</t>
        </is>
      </c>
      <c r="F85" s="7" t="inlineStr">
        <is>
          <t>加热关闭，不只是降档（除非追问确认）</t>
        </is>
      </c>
      <c r="G85" s="7" t="inlineStr">
        <is>
          <t>播报在0.5s内停止(bargen-in)、只执行最新意图，旧意图不残留</t>
        </is>
      </c>
      <c r="H85" s="9" t="n"/>
      <c r="I85" s="10" t="n"/>
      <c r="J85" s="10" t="n"/>
      <c r="K85" s="10" t="n"/>
      <c r="L85" s="7" t="inlineStr"/>
    </row>
    <row r="86" ht="30" customHeight="1">
      <c r="A86" s="13" t="inlineStr">
        <is>
          <t>D-12</t>
        </is>
      </c>
      <c r="B86" s="6" t="inlineStr">
        <is>
          <t>D 打断与纠错</t>
        </is>
      </c>
      <c r="C86" s="7" t="inlineStr">
        <is>
          <t>系统询问是否走高速时，主驾</t>
        </is>
      </c>
      <c r="D86" s="8" t="inlineStr">
        <is>
          <t>不走高速，走下面</t>
        </is>
      </c>
      <c r="E86" s="7" t="inlineStr">
        <is>
          <t>否定推荐选项+选普通道路</t>
        </is>
      </c>
      <c r="F86" s="7" t="inlineStr">
        <is>
          <t>按非高速路线规划</t>
        </is>
      </c>
      <c r="G86" s="7" t="inlineStr">
        <is>
          <t>播报在0.5s内停止(bargen-in)、只执行最新意图，旧意图不残留</t>
        </is>
      </c>
      <c r="H86" s="9" t="n"/>
      <c r="I86" s="10" t="n"/>
      <c r="J86" s="10" t="n"/>
      <c r="K86" s="10" t="n"/>
      <c r="L86" s="7" t="inlineStr"/>
    </row>
    <row r="87" ht="30" customHeight="1">
      <c r="A87" s="13" t="inlineStr">
        <is>
          <t>D-13</t>
        </is>
      </c>
      <c r="B87" s="6" t="inlineStr">
        <is>
          <t>D 打断与纠错</t>
        </is>
      </c>
      <c r="C87" s="7" t="inlineStr">
        <is>
          <t>TTS播报天气长段落中，主驾</t>
        </is>
      </c>
      <c r="D87" s="8" t="inlineStr">
        <is>
          <t>好了好了，知道了，导航回家</t>
        </is>
      </c>
      <c r="E87" s="7" t="inlineStr">
        <is>
          <t>打断闲聊播报+导航回家</t>
        </is>
      </c>
      <c r="F87" s="7" t="inlineStr">
        <is>
          <t>天气播报停，直接执行导航</t>
        </is>
      </c>
      <c r="G87" s="7" t="inlineStr">
        <is>
          <t>播报在0.5s内停止(bargen-in)、只执行最新意图，旧意图不残留</t>
        </is>
      </c>
      <c r="H87" s="9" t="n"/>
      <c r="I87" s="10" t="n"/>
      <c r="J87" s="10" t="n"/>
      <c r="K87" s="10" t="n"/>
      <c r="L87" s="7" t="inlineStr"/>
    </row>
    <row r="88" ht="30" customHeight="1">
      <c r="A88" s="13" t="inlineStr">
        <is>
          <t>D-14</t>
        </is>
      </c>
      <c r="B88" s="6" t="inlineStr">
        <is>
          <t>D 打断与纠错</t>
        </is>
      </c>
      <c r="C88" s="7" t="inlineStr">
        <is>
          <t>误唤醒后系统在聆听，主驾</t>
        </is>
      </c>
      <c r="D88" s="8" t="inlineStr">
        <is>
          <t>没叫你，不用管</t>
        </is>
      </c>
      <c r="E88" s="7" t="inlineStr">
        <is>
          <t>取消本次交互</t>
        </is>
      </c>
      <c r="F88" s="7" t="inlineStr">
        <is>
          <t>退出聆听/执行，不产生任何动作</t>
        </is>
      </c>
      <c r="G88" s="7" t="inlineStr">
        <is>
          <t>播报在0.5s内停止(bargen-in)、只执行最新意图，旧意图不残留</t>
        </is>
      </c>
      <c r="H88" s="9" t="n"/>
      <c r="I88" s="10" t="n"/>
      <c r="J88" s="10" t="n"/>
      <c r="K88" s="10" t="n"/>
      <c r="L88" s="7" t="inlineStr"/>
    </row>
    <row r="89" ht="30" customHeight="1">
      <c r="A89" s="13" t="inlineStr">
        <is>
          <t>D-15</t>
        </is>
      </c>
      <c r="B89" s="6" t="inlineStr">
        <is>
          <t>D 打断与纠错</t>
        </is>
      </c>
      <c r="C89" s="7" t="inlineStr">
        <is>
          <t>导航去A地途中，主驾</t>
        </is>
      </c>
      <c r="D89" s="8" t="inlineStr">
        <is>
          <t>改主意了，去B地，不去A了</t>
        </is>
      </c>
      <c r="E89" s="7" t="inlineStr">
        <is>
          <t>更换目的地A→B</t>
        </is>
      </c>
      <c r="F89" s="7" t="inlineStr">
        <is>
          <t>目的地只剩B，A被替换而非途经点</t>
        </is>
      </c>
      <c r="G89" s="7" t="inlineStr">
        <is>
          <t>播报在0.5s内停止(bargen-in)、只执行最新意图，旧意图不残留</t>
        </is>
      </c>
      <c r="H89" s="9" t="n"/>
      <c r="I89" s="10" t="n"/>
      <c r="J89" s="10" t="n"/>
      <c r="K89" s="10" t="n"/>
      <c r="L89" s="7" t="inlineStr"/>
    </row>
    <row r="90" ht="30" customHeight="1">
      <c r="A90" s="13" t="inlineStr">
        <is>
          <t>D-16</t>
        </is>
      </c>
      <c r="B90" s="6" t="inlineStr">
        <is>
          <t>D 打断与纠错</t>
        </is>
      </c>
      <c r="C90" s="7" t="inlineStr">
        <is>
          <t>音量已调高后，主驾</t>
        </is>
      </c>
      <c r="D90" s="8" t="inlineStr">
        <is>
          <t>还是太小声，再大一点</t>
        </is>
      </c>
      <c r="E90" s="7" t="inlineStr">
        <is>
          <t>在当前基础上继续调高音量</t>
        </is>
      </c>
      <c r="F90" s="7" t="inlineStr">
        <is>
          <t>音量再+，参照的是最新状态</t>
        </is>
      </c>
      <c r="G90" s="7" t="inlineStr">
        <is>
          <t>播报在0.5s内停止(bargen-in)、只执行最新意图，旧意图不残留</t>
        </is>
      </c>
      <c r="H90" s="9" t="n"/>
      <c r="I90" s="10" t="n"/>
      <c r="J90" s="10" t="n"/>
      <c r="K90" s="10" t="n"/>
      <c r="L90" s="7" t="inlineStr"/>
    </row>
    <row r="91" ht="30" customHeight="1">
      <c r="A91" s="13" t="inlineStr">
        <is>
          <t>D-17</t>
        </is>
      </c>
      <c r="B91" s="6" t="inlineStr">
        <is>
          <t>D 打断与纠错</t>
        </is>
      </c>
      <c r="C91" s="7" t="inlineStr">
        <is>
          <t>系统复述确认‘温度25度对吗’时，主驾</t>
        </is>
      </c>
      <c r="D91" s="8" t="inlineStr">
        <is>
          <t>不对，23度</t>
        </is>
      </c>
      <c r="E91" s="7" t="inlineStr">
        <is>
          <t>纠正确认内容为23℃</t>
        </is>
      </c>
      <c r="F91" s="7" t="inlineStr">
        <is>
          <t>按23℃执行，不能按25℃执行</t>
        </is>
      </c>
      <c r="G91" s="7" t="inlineStr">
        <is>
          <t>播报在0.5s内停止(bargen-in)、只执行最新意图，旧意图不残留</t>
        </is>
      </c>
      <c r="H91" s="9" t="n"/>
      <c r="I91" s="10" t="n"/>
      <c r="J91" s="10" t="n"/>
      <c r="K91" s="10" t="n"/>
      <c r="L91" s="7" t="inlineStr"/>
    </row>
    <row r="92" ht="30" customHeight="1">
      <c r="A92" s="13" t="inlineStr">
        <is>
          <t>D-18</t>
        </is>
      </c>
      <c r="B92" s="6" t="inlineStr">
        <is>
          <t>D 打断与纠错</t>
        </is>
      </c>
      <c r="C92" s="7" t="inlineStr">
        <is>
          <t>长播报中主驾只说半句后停顿</t>
        </is>
      </c>
      <c r="D92" s="8" t="inlineStr">
        <is>
          <t>我想去……算了，先回家吧</t>
        </is>
      </c>
      <c r="E92" s="7" t="inlineStr">
        <is>
          <t>以最终完整意图为准：导航回家</t>
        </is>
      </c>
      <c r="F92" s="7" t="inlineStr">
        <is>
          <t>不执行半句未定地点，直接回家</t>
        </is>
      </c>
      <c r="G92" s="7" t="inlineStr">
        <is>
          <t>播报在0.5s内停止(bargen-in)、只执行最新意图，旧意图不残留</t>
        </is>
      </c>
      <c r="H92" s="9" t="n"/>
      <c r="I92" s="10" t="n"/>
      <c r="J92" s="10" t="n"/>
      <c r="K92" s="10" t="n"/>
      <c r="L92" s="7" t="inlineStr"/>
    </row>
    <row r="93" ht="30" customHeight="1">
      <c r="A93" s="13" t="inlineStr">
        <is>
          <t>D-19</t>
        </is>
      </c>
      <c r="B93" s="6" t="inlineStr">
        <is>
          <t>D 打断与纠错</t>
        </is>
      </c>
      <c r="C93" s="7" t="inlineStr">
        <is>
          <t>儿童在后排喊‘停’，主驾未说话</t>
        </is>
      </c>
      <c r="D93" s="8" t="inlineStr">
        <is>
          <t>（后排声音）停停停</t>
        </is>
      </c>
      <c r="E93" s="7" t="inlineStr">
        <is>
          <t>非主驾/非目标说话人指令应弱处理</t>
        </is>
      </c>
      <c r="F93" s="7" t="inlineStr">
        <is>
          <t>不因后排喊停而取消主驾导航（声源定位）</t>
        </is>
      </c>
      <c r="G93" s="7" t="inlineStr">
        <is>
          <t>不因后排非目标说话人喊停而取消导航；若执行须主驾确认</t>
        </is>
      </c>
      <c r="H93" s="9" t="n"/>
      <c r="I93" s="10" t="n"/>
      <c r="J93" s="10" t="n"/>
      <c r="K93" s="10" t="n"/>
      <c r="L93" s="7" t="inlineStr"/>
    </row>
    <row r="94" ht="30" customHeight="1">
      <c r="A94" s="13" t="inlineStr">
        <is>
          <t>D-20</t>
        </is>
      </c>
      <c r="B94" s="6" t="inlineStr">
        <is>
          <t>D 打断与纠错</t>
        </is>
      </c>
      <c r="C94" s="7" t="inlineStr">
        <is>
          <t>导航即将播报转弯提示，主驾同时说话</t>
        </is>
      </c>
      <c r="D94" s="8" t="inlineStr">
        <is>
          <t>把空调关了</t>
        </is>
      </c>
      <c r="E94" s="7" t="inlineStr">
        <is>
          <t>双工并行：不丢失转弯提示与新指令</t>
        </is>
      </c>
      <c r="F94" s="7" t="inlineStr">
        <is>
          <t>新指令执行，转弯提示延后补播或屏幕提示</t>
        </is>
      </c>
      <c r="G94" s="7" t="inlineStr">
        <is>
          <t>播报在0.5s内停止(bargen-in)、只执行最新意图，旧意图不残留</t>
        </is>
      </c>
      <c r="H94" s="9" t="n"/>
      <c r="I94" s="10" t="n"/>
      <c r="J94" s="10" t="n"/>
      <c r="K94" s="10" t="n"/>
      <c r="L94" s="7" t="inlineStr"/>
    </row>
    <row r="95" ht="30" customHeight="1">
      <c r="A95" s="14" t="inlineStr">
        <is>
          <t>E-01</t>
        </is>
      </c>
      <c r="B95" s="6" t="inlineStr">
        <is>
          <t>E 噪声与复杂环境</t>
        </is>
      </c>
      <c r="C95" s="7" t="inlineStr">
        <is>
          <t>开窗行驶80km/h，风噪大，主驾提高音量说话</t>
        </is>
      </c>
      <c r="D95" s="8" t="inlineStr">
        <is>
          <t>导航回家</t>
        </is>
      </c>
      <c r="E95" s="7" t="inlineStr">
        <is>
          <t>噪声下导航意图</t>
        </is>
      </c>
      <c r="F95" s="7" t="inlineStr">
        <is>
          <t>识别正确并开始导航，不要求重复</t>
        </is>
      </c>
      <c r="G95" s="7" t="inlineStr">
        <is>
          <t>在标注噪声下识别正确、任务完成且首响＜2s；不清时请重复而非误执行</t>
        </is>
      </c>
      <c r="H95" s="9" t="n"/>
      <c r="I95" s="10" t="n"/>
      <c r="J95" s="10" t="n"/>
      <c r="K95" s="10" t="n"/>
      <c r="L95" s="7" t="inlineStr">
        <is>
          <t>标注：开窗80km/h</t>
        </is>
      </c>
    </row>
    <row r="96" ht="30" customHeight="1">
      <c r="A96" s="14" t="inlineStr">
        <is>
          <t>E-02</t>
        </is>
      </c>
      <c r="B96" s="6" t="inlineStr">
        <is>
          <t>E 噪声与复杂环境</t>
        </is>
      </c>
      <c r="C96" s="7" t="inlineStr">
        <is>
          <t>高速100km/h，车窗关，胎噪大，主驾正常音量</t>
        </is>
      </c>
      <c r="D96" s="8" t="inlineStr">
        <is>
          <t>空调调到23度</t>
        </is>
      </c>
      <c r="E96" s="7" t="inlineStr">
        <is>
          <t>噪声下车控意图</t>
        </is>
      </c>
      <c r="F96" s="7" t="inlineStr">
        <is>
          <t>温度设为23℃</t>
        </is>
      </c>
      <c r="G96" s="7" t="inlineStr">
        <is>
          <t>在标注噪声下识别正确、任务完成且首响＜2s；不清时请重复而非误执行</t>
        </is>
      </c>
      <c r="H96" s="9" t="n"/>
      <c r="I96" s="10" t="n"/>
      <c r="J96" s="10" t="n"/>
      <c r="K96" s="10" t="n"/>
      <c r="L96" s="7" t="inlineStr"/>
    </row>
    <row r="97" ht="30" customHeight="1">
      <c r="A97" s="14" t="inlineStr">
        <is>
          <t>E-03</t>
        </is>
      </c>
      <c r="B97" s="6" t="inlineStr">
        <is>
          <t>E 噪声与复杂环境</t>
        </is>
      </c>
      <c r="C97" s="7" t="inlineStr">
        <is>
          <t>音乐大声播放中，主驾在音乐间隙说话</t>
        </is>
      </c>
      <c r="D97" s="8" t="inlineStr">
        <is>
          <t>暂停音乐</t>
        </is>
      </c>
      <c r="E97" s="7" t="inlineStr">
        <is>
          <t>音乐声干扰下停止播放</t>
        </is>
      </c>
      <c r="F97" s="7" t="inlineStr">
        <is>
          <t>音乐暂停（自播放回声消除场景）</t>
        </is>
      </c>
      <c r="G97" s="7" t="inlineStr">
        <is>
          <t>在标注噪声下识别正确、任务完成且首响＜2s；不清时请重复而非误执行</t>
        </is>
      </c>
      <c r="H97" s="9" t="n"/>
      <c r="I97" s="10" t="n"/>
      <c r="J97" s="10" t="n"/>
      <c r="K97" s="10" t="n"/>
      <c r="L97" s="7" t="inlineStr">
        <is>
          <t>标注：音乐播放中</t>
        </is>
      </c>
    </row>
    <row r="98" ht="30" customHeight="1">
      <c r="A98" s="14" t="inlineStr">
        <is>
          <t>E-04</t>
        </is>
      </c>
      <c r="B98" s="6" t="inlineStr">
        <is>
          <t>E 噪声与复杂环境</t>
        </is>
      </c>
      <c r="C98" s="7" t="inlineStr">
        <is>
          <t>后排儿童持续说话，主驾下指令</t>
        </is>
      </c>
      <c r="D98" s="8" t="inlineStr">
        <is>
          <t>打开车窗</t>
        </is>
      </c>
      <c r="E98" s="7" t="inlineStr">
        <is>
          <t>多人声中主驾指令识别</t>
        </is>
      </c>
      <c r="F98" s="7" t="inlineStr">
        <is>
          <t>执行主驾指令，不被儿童声误导</t>
        </is>
      </c>
      <c r="G98" s="7" t="inlineStr">
        <is>
          <t>在标注噪声下识别正确、任务完成且首响＜2s；不清时请重复而非误执行</t>
        </is>
      </c>
      <c r="H98" s="9" t="n"/>
      <c r="I98" s="10" t="n"/>
      <c r="J98" s="10" t="n"/>
      <c r="K98" s="10" t="n"/>
      <c r="L98" s="7" t="inlineStr">
        <is>
          <t>标注：后排儿童说话</t>
        </is>
      </c>
    </row>
    <row r="99" ht="30" customHeight="1">
      <c r="A99" s="14" t="inlineStr">
        <is>
          <t>E-05</t>
        </is>
      </c>
      <c r="B99" s="6" t="inlineStr">
        <is>
          <t>E 噪声与复杂环境</t>
        </is>
      </c>
      <c r="C99" s="7" t="inlineStr">
        <is>
          <t>后排儿童大声哭闹，主驾</t>
        </is>
      </c>
      <c r="D99" s="8" t="inlineStr">
        <is>
          <t>把音量调小一点</t>
        </is>
      </c>
      <c r="E99" s="7" t="inlineStr">
        <is>
          <t>强干扰下音量控制</t>
        </is>
      </c>
      <c r="F99" s="7" t="inlineStr">
        <is>
          <t>音量降低，若识别不清应请重复而非乱执行</t>
        </is>
      </c>
      <c r="G99" s="7" t="inlineStr">
        <is>
          <t>在标注噪声下识别正确、任务完成且首响＜2s；不清时请重复而非误执行</t>
        </is>
      </c>
      <c r="H99" s="9" t="n"/>
      <c r="I99" s="10" t="n"/>
      <c r="J99" s="10" t="n"/>
      <c r="K99" s="10" t="n"/>
      <c r="L99" s="7" t="inlineStr"/>
    </row>
    <row r="100" ht="30" customHeight="1">
      <c r="A100" s="14" t="inlineStr">
        <is>
          <t>E-06</t>
        </is>
      </c>
      <c r="B100" s="6" t="inlineStr">
        <is>
          <t>E 噪声与复杂环境</t>
        </is>
      </c>
      <c r="C100" s="7" t="inlineStr">
        <is>
          <t>副驾与主驾同时说话，副驾说去商场</t>
        </is>
      </c>
      <c r="D100" s="8" t="inlineStr">
        <is>
          <t>（主驾）导航回家</t>
        </is>
      </c>
      <c r="E100" s="7" t="inlineStr">
        <is>
          <t>声源定位：主驾优先</t>
        </is>
      </c>
      <c r="F100" s="7" t="inlineStr">
        <is>
          <t>以主驾目的地为准，或追问确认</t>
        </is>
      </c>
      <c r="G100" s="7" t="inlineStr">
        <is>
          <t>在标注噪声下识别正确、任务完成且首响＜2s；不清时请重复而非误执行</t>
        </is>
      </c>
      <c r="H100" s="9" t="n"/>
      <c r="I100" s="10" t="n"/>
      <c r="J100" s="10" t="n"/>
      <c r="K100" s="10" t="n"/>
      <c r="L100" s="7" t="inlineStr"/>
    </row>
    <row r="101" ht="30" customHeight="1">
      <c r="A101" s="14" t="inlineStr">
        <is>
          <t>E-07</t>
        </is>
      </c>
      <c r="B101" s="6" t="inlineStr">
        <is>
          <t>E 噪声与复杂环境</t>
        </is>
      </c>
      <c r="C101" s="7" t="inlineStr">
        <is>
          <t>雨天行驶，雨刮声+雨声，主驾</t>
        </is>
      </c>
      <c r="D101" s="8" t="inlineStr">
        <is>
          <t>打开除雾</t>
        </is>
      </c>
      <c r="E101" s="7" t="inlineStr">
        <is>
          <t>雨噪下除雾意图</t>
        </is>
      </c>
      <c r="F101" s="7" t="inlineStr">
        <is>
          <t>除雾开启</t>
        </is>
      </c>
      <c r="G101" s="7" t="inlineStr">
        <is>
          <t>在标注噪声下识别正确、任务完成且首响＜2s；不清时请重复而非误执行</t>
        </is>
      </c>
      <c r="H101" s="9" t="n"/>
      <c r="I101" s="10" t="n"/>
      <c r="J101" s="10" t="n"/>
      <c r="K101" s="10" t="n"/>
      <c r="L101" s="7" t="inlineStr"/>
    </row>
    <row r="102" ht="30" customHeight="1">
      <c r="A102" s="14" t="inlineStr">
        <is>
          <t>E-08</t>
        </is>
      </c>
      <c r="B102" s="6" t="inlineStr">
        <is>
          <t>E 噪声与复杂环境</t>
        </is>
      </c>
      <c r="C102" s="7" t="inlineStr">
        <is>
          <t>隧道内行驶，回声明显，主驾</t>
        </is>
      </c>
      <c r="D102" s="8" t="inlineStr">
        <is>
          <t>还有多久到</t>
        </is>
      </c>
      <c r="E102" s="7" t="inlineStr">
        <is>
          <t>隧道回声下查询ETA</t>
        </is>
      </c>
      <c r="F102" s="7" t="inlineStr">
        <is>
          <t>播报剩余时间，不重复识别成两条指令</t>
        </is>
      </c>
      <c r="G102" s="7" t="inlineStr">
        <is>
          <t>在标注噪声下识别正确、任务完成且首响＜2s；不清时请重复而非误执行</t>
        </is>
      </c>
      <c r="H102" s="9" t="n"/>
      <c r="I102" s="10" t="n"/>
      <c r="J102" s="10" t="n"/>
      <c r="K102" s="10" t="n"/>
      <c r="L102" s="7" t="inlineStr"/>
    </row>
    <row r="103" ht="30" customHeight="1">
      <c r="A103" s="14" t="inlineStr">
        <is>
          <t>E-09</t>
        </is>
      </c>
      <c r="B103" s="6" t="inlineStr">
        <is>
          <t>E 噪声与复杂环境</t>
        </is>
      </c>
      <c r="C103" s="7" t="inlineStr">
        <is>
          <t>主驾戴口罩，声音发闷，低速行驶</t>
        </is>
      </c>
      <c r="D103" s="8" t="inlineStr">
        <is>
          <t>打开座椅加热</t>
        </is>
      </c>
      <c r="E103" s="7" t="inlineStr">
        <is>
          <t>发闷语音下车控</t>
        </is>
      </c>
      <c r="F103" s="7" t="inlineStr">
        <is>
          <t>座椅加热开启</t>
        </is>
      </c>
      <c r="G103" s="7" t="inlineStr">
        <is>
          <t>在标注噪声下识别正确、任务完成且首响＜2s；不清时请重复而非误执行</t>
        </is>
      </c>
      <c r="H103" s="9" t="n"/>
      <c r="I103" s="10" t="n"/>
      <c r="J103" s="10" t="n"/>
      <c r="K103" s="10" t="n"/>
      <c r="L103" s="7" t="inlineStr"/>
    </row>
    <row r="104" ht="30" customHeight="1">
      <c r="A104" s="14" t="inlineStr">
        <is>
          <t>E-10</t>
        </is>
      </c>
      <c r="B104" s="6" t="inlineStr">
        <is>
          <t>E 噪声与复杂环境</t>
        </is>
      </c>
      <c r="C104" s="7" t="inlineStr">
        <is>
          <t>主驾小声说话，副驾在打电话</t>
        </is>
      </c>
      <c r="D104" s="8" t="inlineStr">
        <is>
          <t>关掉空调</t>
        </is>
      </c>
      <c r="E104" s="7" t="inlineStr">
        <is>
          <t>低音量+旁人通话干扰</t>
        </is>
      </c>
      <c r="F104" s="7" t="inlineStr">
        <is>
          <t>正确执行关空调，不识别副驾通话内容为指令</t>
        </is>
      </c>
      <c r="G104" s="7" t="inlineStr">
        <is>
          <t>在标注噪声下识别正确、任务完成且首响＜2s；不清时请重复而非误执行</t>
        </is>
      </c>
      <c r="H104" s="9" t="n"/>
      <c r="I104" s="10" t="n"/>
      <c r="J104" s="10" t="n"/>
      <c r="K104" s="10" t="n"/>
      <c r="L104" s="7" t="inlineStr"/>
    </row>
    <row r="105" ht="30" customHeight="1">
      <c r="A105" s="14" t="inlineStr">
        <is>
          <t>E-11</t>
        </is>
      </c>
      <c r="B105" s="6" t="inlineStr">
        <is>
          <t>E 噪声与复杂环境</t>
        </is>
      </c>
      <c r="C105" s="7" t="inlineStr">
        <is>
          <t>主驾带地方口音普通话，市区行驶</t>
        </is>
      </c>
      <c r="D105" s="8" t="inlineStr">
        <is>
          <t>导航去火车站</t>
        </is>
      </c>
      <c r="E105" s="7" t="inlineStr">
        <is>
          <t>口音普通话导航</t>
        </is>
      </c>
      <c r="F105" s="7" t="inlineStr">
        <is>
          <t>识别为火车站并消歧到具体车站</t>
        </is>
      </c>
      <c r="G105" s="7" t="inlineStr">
        <is>
          <t>识别正确并能对多个火车站消歧追问</t>
        </is>
      </c>
      <c r="H105" s="9" t="n"/>
      <c r="I105" s="10" t="n"/>
      <c r="J105" s="10" t="n"/>
      <c r="K105" s="10" t="n"/>
      <c r="L105" s="7" t="inlineStr"/>
    </row>
    <row r="106" ht="30" customHeight="1">
      <c r="A106" s="14" t="inlineStr">
        <is>
          <t>E-12</t>
        </is>
      </c>
      <c r="B106" s="6" t="inlineStr">
        <is>
          <t>E 噪声与复杂环境</t>
        </is>
      </c>
      <c r="C106" s="7" t="inlineStr">
        <is>
          <t>老人说话慢、停顿多，主驾长辈</t>
        </is>
      </c>
      <c r="D106" s="8" t="inlineStr">
        <is>
          <t>我想……去……公园</t>
        </is>
      </c>
      <c r="E106" s="7" t="inlineStr">
        <is>
          <t>慢速断续语音导航</t>
        </is>
      </c>
      <c r="F106" s="7" t="inlineStr">
        <is>
          <t>等待说完再执行，目的地为公园需追问哪家</t>
        </is>
      </c>
      <c r="G106" s="7" t="inlineStr">
        <is>
          <t>在标注噪声下识别正确、任务完成且首响＜2s；不清时请重复而非误执行</t>
        </is>
      </c>
      <c r="H106" s="9" t="n"/>
      <c r="I106" s="10" t="n"/>
      <c r="J106" s="10" t="n"/>
      <c r="K106" s="10" t="n"/>
      <c r="L106" s="7" t="inlineStr"/>
    </row>
    <row r="107" ht="30" customHeight="1">
      <c r="A107" s="14" t="inlineStr">
        <is>
          <t>E-13</t>
        </is>
      </c>
      <c r="B107" s="6" t="inlineStr">
        <is>
          <t>E 噪声与复杂环境</t>
        </is>
      </c>
      <c r="C107" s="7" t="inlineStr">
        <is>
          <t>车内多人闲聊背景声中，主驾唤醒后下令</t>
        </is>
      </c>
      <c r="D107" s="8" t="inlineStr">
        <is>
          <t>播放新闻</t>
        </is>
      </c>
      <c r="E107" s="7" t="inlineStr">
        <is>
          <t>闲聊背景下媒体意图</t>
        </is>
      </c>
      <c r="F107" s="7" t="inlineStr">
        <is>
          <t>新闻开始播放，不把闲聊当指令</t>
        </is>
      </c>
      <c r="G107" s="7" t="inlineStr">
        <is>
          <t>在标注噪声下识别正确、任务完成且首响＜2s；不清时请重复而非误执行</t>
        </is>
      </c>
      <c r="H107" s="9" t="n"/>
      <c r="I107" s="10" t="n"/>
      <c r="J107" s="10" t="n"/>
      <c r="K107" s="10" t="n"/>
      <c r="L107" s="7" t="inlineStr"/>
    </row>
    <row r="108" ht="30" customHeight="1">
      <c r="A108" s="14" t="inlineStr">
        <is>
          <t>E-14</t>
        </is>
      </c>
      <c r="B108" s="6" t="inlineStr">
        <is>
          <t>E 噪声与复杂环境</t>
        </is>
      </c>
      <c r="C108" s="7" t="inlineStr">
        <is>
          <t>开窗低速过闹市，人声车声混杂</t>
        </is>
      </c>
      <c r="D108" s="8" t="inlineStr">
        <is>
          <t>找附近的药店</t>
        </is>
      </c>
      <c r="E108" s="7" t="inlineStr">
        <is>
          <t>复杂街噪下搜索POI</t>
        </is>
      </c>
      <c r="F108" s="7" t="inlineStr">
        <is>
          <t>列出附近药店</t>
        </is>
      </c>
      <c r="G108" s="7" t="inlineStr">
        <is>
          <t>在标注噪声下识别正确、任务完成且首响＜2s；不清时请重复而非误执行</t>
        </is>
      </c>
      <c r="H108" s="9" t="n"/>
      <c r="I108" s="10" t="n"/>
      <c r="J108" s="10" t="n"/>
      <c r="K108" s="10" t="n"/>
      <c r="L108" s="7" t="inlineStr"/>
    </row>
    <row r="109" ht="30" customHeight="1">
      <c r="A109" s="14" t="inlineStr">
        <is>
          <t>E-15</t>
        </is>
      </c>
      <c r="B109" s="6" t="inlineStr">
        <is>
          <t>E 噪声与复杂环境</t>
        </is>
      </c>
      <c r="C109" s="7" t="inlineStr">
        <is>
          <t>高速行驶，主驾一句话说得很短促</t>
        </is>
      </c>
      <c r="D109" s="8" t="inlineStr">
        <is>
          <t>关窗</t>
        </is>
      </c>
      <c r="E109" s="7" t="inlineStr">
        <is>
          <t>短指令+风噪</t>
        </is>
      </c>
      <c r="F109" s="7" t="inlineStr">
        <is>
          <t>所有车窗关闭，不误识为其他词</t>
        </is>
      </c>
      <c r="G109" s="7" t="inlineStr">
        <is>
          <t>在标注噪声下识别正确、任务完成且首响＜2s；不清时请重复而非误执行</t>
        </is>
      </c>
      <c r="H109" s="9" t="n"/>
      <c r="I109" s="10" t="n"/>
      <c r="J109" s="10" t="n"/>
      <c r="K109" s="10" t="n"/>
      <c r="L109" s="7" t="inlineStr"/>
    </row>
    <row r="110" ht="30" customHeight="1">
      <c r="A110" s="15" t="inlineStr">
        <is>
          <t>F-01</t>
        </is>
      </c>
      <c r="B110" s="6" t="inlineStr">
        <is>
          <t>F 模糊表达与闲聊问答</t>
        </is>
      </c>
      <c r="C110" s="7" t="inlineStr">
        <is>
          <t>行驶中，主驾，车内密闭</t>
        </is>
      </c>
      <c r="D110" s="8" t="inlineStr">
        <is>
          <t>我有点闷</t>
        </is>
      </c>
      <c r="E110" s="7" t="inlineStr">
        <is>
          <t>模糊表达→透气需求</t>
        </is>
      </c>
      <c r="F110" s="7" t="inlineStr">
        <is>
          <t>主动开窗缝/切换外循环/调高风量，并说明动作</t>
        </is>
      </c>
      <c r="G110" s="7" t="inlineStr">
        <is>
          <t>理解真实需求并给出合理动作/回答，首响＜1.5s；涉及车控先说明再执行</t>
        </is>
      </c>
      <c r="H110" s="9" t="n"/>
      <c r="I110" s="10" t="n"/>
      <c r="J110" s="10" t="n"/>
      <c r="K110" s="10" t="n"/>
      <c r="L110" s="7" t="inlineStr">
        <is>
          <t>模糊表达样例：闷→透气</t>
        </is>
      </c>
    </row>
    <row r="111" ht="30" customHeight="1">
      <c r="A111" s="15" t="inlineStr">
        <is>
          <t>F-02</t>
        </is>
      </c>
      <c r="B111" s="6" t="inlineStr">
        <is>
          <t>F 模糊表达与闲聊问答</t>
        </is>
      </c>
      <c r="C111" s="7" t="inlineStr">
        <is>
          <t>冬季行驶，主驾</t>
        </is>
      </c>
      <c r="D111" s="8" t="inlineStr">
        <is>
          <t>脚有点凉</t>
        </is>
      </c>
      <c r="E111" s="7" t="inlineStr">
        <is>
          <t>模糊表达→足部升温</t>
        </is>
      </c>
      <c r="F111" s="7" t="inlineStr">
        <is>
          <t>开启脚部出风/座椅加热或调高温度，并确认</t>
        </is>
      </c>
      <c r="G111" s="7" t="inlineStr">
        <is>
          <t>理解真实需求并给出合理动作/回答，首响＜1.5s；涉及车控先说明再执行</t>
        </is>
      </c>
      <c r="H111" s="9" t="n"/>
      <c r="I111" s="10" t="n"/>
      <c r="J111" s="10" t="n"/>
      <c r="K111" s="10" t="n"/>
      <c r="L111" s="7" t="inlineStr">
        <is>
          <t>模糊表达样例：脚凉→足部加热</t>
        </is>
      </c>
    </row>
    <row r="112" ht="30" customHeight="1">
      <c r="A112" s="15" t="inlineStr">
        <is>
          <t>F-03</t>
        </is>
      </c>
      <c r="B112" s="6" t="inlineStr">
        <is>
          <t>F 模糊表达与闲聊问答</t>
        </is>
      </c>
      <c r="C112" s="7" t="inlineStr">
        <is>
          <t>夏季暴晒行驶，主驾</t>
        </is>
      </c>
      <c r="D112" s="8" t="inlineStr">
        <is>
          <t>太晒了</t>
        </is>
      </c>
      <c r="E112" s="7" t="inlineStr">
        <is>
          <t>模糊表达→遮阳降温</t>
        </is>
      </c>
      <c r="F112" s="7" t="inlineStr">
        <is>
          <t>关遮阳帘/开天窗帘关闭+空调加大，给出动作</t>
        </is>
      </c>
      <c r="G112" s="7" t="inlineStr">
        <is>
          <t>理解真实需求并给出合理动作/回答，首响＜1.5s；涉及车控先说明再执行</t>
        </is>
      </c>
      <c r="H112" s="9" t="n"/>
      <c r="I112" s="10" t="n"/>
      <c r="J112" s="10" t="n"/>
      <c r="K112" s="10" t="n"/>
      <c r="L112" s="7" t="inlineStr"/>
    </row>
    <row r="113" ht="30" customHeight="1">
      <c r="A113" s="15" t="inlineStr">
        <is>
          <t>F-04</t>
        </is>
      </c>
      <c r="B113" s="6" t="inlineStr">
        <is>
          <t>F 模糊表达与闲聊问答</t>
        </is>
      </c>
      <c r="C113" s="7" t="inlineStr">
        <is>
          <t>行驶中，主驾</t>
        </is>
      </c>
      <c r="D113" s="8" t="inlineStr">
        <is>
          <t>我有点冷</t>
        </is>
      </c>
      <c r="E113" s="7" t="inlineStr">
        <is>
          <t>模糊表达→升温</t>
        </is>
      </c>
      <c r="F113" s="7" t="inlineStr">
        <is>
          <t>调高温度或开座椅加热，不反向开冷风</t>
        </is>
      </c>
      <c r="G113" s="7" t="inlineStr">
        <is>
          <t>理解真实需求并给出合理动作/回答，首响＜1.5s；涉及车控先说明再执行</t>
        </is>
      </c>
      <c r="H113" s="9" t="n"/>
      <c r="I113" s="10" t="n"/>
      <c r="J113" s="10" t="n"/>
      <c r="K113" s="10" t="n"/>
      <c r="L113" s="7" t="inlineStr"/>
    </row>
    <row r="114" ht="30" customHeight="1">
      <c r="A114" s="15" t="inlineStr">
        <is>
          <t>F-05</t>
        </is>
      </c>
      <c r="B114" s="6" t="inlineStr">
        <is>
          <t>F 模糊表达与闲聊问答</t>
        </is>
      </c>
      <c r="C114" s="7" t="inlineStr">
        <is>
          <t>长途行驶，主驾</t>
        </is>
      </c>
      <c r="D114" s="8" t="inlineStr">
        <is>
          <t>有点无聊</t>
        </is>
      </c>
      <c r="E114" s="7" t="inlineStr">
        <is>
          <t>模糊表达→娱乐推荐</t>
        </is>
      </c>
      <c r="F114" s="7" t="inlineStr">
        <is>
          <t>推荐/播放音乐、播客或笑话，先给一个选项</t>
        </is>
      </c>
      <c r="G114" s="7" t="inlineStr">
        <is>
          <t>理解真实需求并给出合理动作/回答，首响＜1.5s；涉及车控先说明再执行</t>
        </is>
      </c>
      <c r="H114" s="9" t="n"/>
      <c r="I114" s="10" t="n"/>
      <c r="J114" s="10" t="n"/>
      <c r="K114" s="10" t="n"/>
      <c r="L114" s="7" t="inlineStr"/>
    </row>
    <row r="115" ht="30" customHeight="1">
      <c r="A115" s="15" t="inlineStr">
        <is>
          <t>F-06</t>
        </is>
      </c>
      <c r="B115" s="6" t="inlineStr">
        <is>
          <t>F 模糊表达与闲聊问答</t>
        </is>
      </c>
      <c r="C115" s="7" t="inlineStr">
        <is>
          <t>午饭时段，行驶中，主驾</t>
        </is>
      </c>
      <c r="D115" s="8" t="inlineStr">
        <is>
          <t>我饿了</t>
        </is>
      </c>
      <c r="E115" s="7" t="inlineStr">
        <is>
          <t>模糊表达→找餐厅</t>
        </is>
      </c>
      <c r="F115" s="7" t="inlineStr">
        <is>
          <t>推荐附近餐厅并问是否导航，不直接乱导航</t>
        </is>
      </c>
      <c r="G115" s="7" t="inlineStr">
        <is>
          <t>理解真实需求并给出合理动作/回答，首响＜1.5s；涉及车控先说明再执行</t>
        </is>
      </c>
      <c r="H115" s="9" t="n"/>
      <c r="I115" s="10" t="n"/>
      <c r="J115" s="10" t="n"/>
      <c r="K115" s="10" t="n"/>
      <c r="L115" s="7" t="inlineStr"/>
    </row>
    <row r="116" ht="30" customHeight="1">
      <c r="A116" s="15" t="inlineStr">
        <is>
          <t>F-07</t>
        </is>
      </c>
      <c r="B116" s="6" t="inlineStr">
        <is>
          <t>F 模糊表达与闲聊问答</t>
        </is>
      </c>
      <c r="C116" s="7" t="inlineStr">
        <is>
          <t>行驶中，主驾，随口问</t>
        </is>
      </c>
      <c r="D116" s="8" t="inlineStr">
        <is>
          <t>今天天气怎么样</t>
        </is>
      </c>
      <c r="E116" s="7" t="inlineStr">
        <is>
          <t>闲聊问答：天气</t>
        </is>
      </c>
      <c r="F116" s="7" t="inlineStr">
        <is>
          <t>播报今天天气/温度，简洁不冗长</t>
        </is>
      </c>
      <c r="G116" s="7" t="inlineStr">
        <is>
          <t>理解真实需求并给出合理动作/回答，首响＜1.5s；涉及车控先说明再执行</t>
        </is>
      </c>
      <c r="H116" s="9" t="n"/>
      <c r="I116" s="10" t="n"/>
      <c r="J116" s="10" t="n"/>
      <c r="K116" s="10" t="n"/>
      <c r="L116" s="7" t="inlineStr"/>
    </row>
    <row r="117" ht="30" customHeight="1">
      <c r="A117" s="15" t="inlineStr">
        <is>
          <t>F-08</t>
        </is>
      </c>
      <c r="B117" s="6" t="inlineStr">
        <is>
          <t>F 模糊表达与闲聊问答</t>
        </is>
      </c>
      <c r="C117" s="7" t="inlineStr">
        <is>
          <t>停车等待，主驾</t>
        </is>
      </c>
      <c r="D117" s="8" t="inlineStr">
        <is>
          <t>讲个笑话吧</t>
        </is>
      </c>
      <c r="E117" s="7" t="inlineStr">
        <is>
          <t>闲聊：讲笑话</t>
        </is>
      </c>
      <c r="F117" s="7" t="inlineStr">
        <is>
          <t>讲一个简短笑话，不触发任何车控</t>
        </is>
      </c>
      <c r="G117" s="7" t="inlineStr">
        <is>
          <t>理解真实需求并给出合理动作/回答，首响＜1.5s；涉及车控先说明再执行</t>
        </is>
      </c>
      <c r="H117" s="9" t="n"/>
      <c r="I117" s="10" t="n"/>
      <c r="J117" s="10" t="n"/>
      <c r="K117" s="10" t="n"/>
      <c r="L117" s="7" t="inlineStr"/>
    </row>
    <row r="118" ht="30" customHeight="1">
      <c r="A118" s="15" t="inlineStr">
        <is>
          <t>F-09</t>
        </is>
      </c>
      <c r="B118" s="6" t="inlineStr">
        <is>
          <t>F 模糊表达与闲聊问答</t>
        </is>
      </c>
      <c r="C118" s="7" t="inlineStr">
        <is>
          <t>行驶中，主驾</t>
        </is>
      </c>
      <c r="D118" s="8" t="inlineStr">
        <is>
          <t>这首歌叫什么</t>
        </is>
      </c>
      <c r="E118" s="7" t="inlineStr">
        <is>
          <t>闲聊问答：当前歌曲信息</t>
        </is>
      </c>
      <c r="F118" s="7" t="inlineStr">
        <is>
          <t>播报歌名/歌手，与实际播放一致</t>
        </is>
      </c>
      <c r="G118" s="7" t="inlineStr">
        <is>
          <t>理解真实需求并给出合理动作/回答，首响＜1.5s；涉及车控先说明再执行</t>
        </is>
      </c>
      <c r="H118" s="9" t="n"/>
      <c r="I118" s="10" t="n"/>
      <c r="J118" s="10" t="n"/>
      <c r="K118" s="10" t="n"/>
      <c r="L118" s="7" t="inlineStr"/>
    </row>
    <row r="119" ht="30" customHeight="1">
      <c r="A119" s="15" t="inlineStr">
        <is>
          <t>F-10</t>
        </is>
      </c>
      <c r="B119" s="6" t="inlineStr">
        <is>
          <t>F 模糊表达与闲聊问答</t>
        </is>
      </c>
      <c r="C119" s="7" t="inlineStr">
        <is>
          <t>电量约30%，行驶中，主驾</t>
        </is>
      </c>
      <c r="D119" s="8" t="inlineStr">
        <is>
          <t>还够回家吗</t>
        </is>
      </c>
      <c r="E119" s="7" t="inlineStr">
        <is>
          <t>推理问答：续航vs回家距离</t>
        </is>
      </c>
      <c r="F119" s="7" t="inlineStr">
        <is>
          <t>结合剩余续航与回家距离给明确结论/建议充电</t>
        </is>
      </c>
      <c r="G119" s="7" t="inlineStr">
        <is>
          <t>结论须基于续航与距离数据，不编造数字</t>
        </is>
      </c>
      <c r="H119" s="9" t="n"/>
      <c r="I119" s="10" t="n"/>
      <c r="J119" s="10" t="n"/>
      <c r="K119" s="10" t="n"/>
      <c r="L119" s="7" t="inlineStr"/>
    </row>
    <row r="120" ht="30" customHeight="1">
      <c r="A120" s="15" t="inlineStr">
        <is>
          <t>F-11</t>
        </is>
      </c>
      <c r="B120" s="6" t="inlineStr">
        <is>
          <t>F 模糊表达与闲聊问答</t>
        </is>
      </c>
      <c r="C120" s="7" t="inlineStr">
        <is>
          <t>夜间长途，主驾</t>
        </is>
      </c>
      <c r="D120" s="8" t="inlineStr">
        <is>
          <t>眼睛有点累了</t>
        </is>
      </c>
      <c r="E120" s="7" t="inlineStr">
        <is>
          <t>模糊表达→疲劳关怀</t>
        </is>
      </c>
      <c r="F120" s="7" t="inlineStr">
        <is>
          <t>建议休息/服务区，调暗屏幕，不继续推娱乐</t>
        </is>
      </c>
      <c r="G120" s="7" t="inlineStr">
        <is>
          <t>理解真实需求并给出合理动作/回答，首响＜1.5s；涉及车控先说明再执行</t>
        </is>
      </c>
      <c r="H120" s="9" t="n"/>
      <c r="I120" s="10" t="n"/>
      <c r="J120" s="10" t="n"/>
      <c r="K120" s="10" t="n"/>
      <c r="L120" s="7" t="inlineStr"/>
    </row>
    <row r="121" ht="30" customHeight="1">
      <c r="A121" s="15" t="inlineStr">
        <is>
          <t>F-12</t>
        </is>
      </c>
      <c r="B121" s="6" t="inlineStr">
        <is>
          <t>F 模糊表达与闲聊问答</t>
        </is>
      </c>
      <c r="C121" s="7" t="inlineStr">
        <is>
          <t>后排孩子已睡着，主驾小声</t>
        </is>
      </c>
      <c r="D121" s="8" t="inlineStr">
        <is>
          <t>孩子睡着了，小声点</t>
        </is>
      </c>
      <c r="E121" s="7" t="inlineStr">
        <is>
          <t>场景模式：静音/低声</t>
        </is>
      </c>
      <c r="F121" s="7" t="inlineStr">
        <is>
          <t>降低音量与播报音量，进入安静状态</t>
        </is>
      </c>
      <c r="G121" s="7" t="inlineStr">
        <is>
          <t>理解真实需求并给出合理动作/回答，首响＜1.5s；涉及车控先说明再执行</t>
        </is>
      </c>
      <c r="H121" s="9" t="n"/>
      <c r="I121" s="10" t="n"/>
      <c r="J121" s="10" t="n"/>
      <c r="K121" s="10" t="n"/>
      <c r="L121" s="7" t="inlineStr"/>
    </row>
    <row r="122" ht="30" customHeight="1">
      <c r="A122" s="15" t="inlineStr">
        <is>
          <t>F-13</t>
        </is>
      </c>
      <c r="B122" s="6" t="inlineStr">
        <is>
          <t>F 模糊表达与闲聊问答</t>
        </is>
      </c>
      <c r="C122" s="7" t="inlineStr">
        <is>
          <t>行驶中，主驾，堵车</t>
        </is>
      </c>
      <c r="D122" s="8" t="inlineStr">
        <is>
          <t>到底还有多久啊</t>
        </is>
      </c>
      <c r="E122" s="7" t="inlineStr">
        <is>
          <t>带情绪的ETA查询</t>
        </is>
      </c>
      <c r="F122" s="7" t="inlineStr">
        <is>
          <t>先共情再播报剩余时间/拥堵原因，不机械重复</t>
        </is>
      </c>
      <c r="G122" s="7" t="inlineStr">
        <is>
          <t>理解真实需求并给出合理动作/回答，首响＜1.5s；涉及车控先说明再执行</t>
        </is>
      </c>
      <c r="H122" s="9" t="n"/>
      <c r="I122" s="10" t="n"/>
      <c r="J122" s="10" t="n"/>
      <c r="K122" s="10" t="n"/>
      <c r="L122" s="7" t="inlineStr"/>
    </row>
    <row r="123" ht="30" customHeight="1">
      <c r="A123" s="15" t="inlineStr">
        <is>
          <t>F-14</t>
        </is>
      </c>
      <c r="B123" s="6" t="inlineStr">
        <is>
          <t>F 模糊表达与闲聊问答</t>
        </is>
      </c>
      <c r="C123" s="7" t="inlineStr">
        <is>
          <t>行驶中，主驾，晕车感</t>
        </is>
      </c>
      <c r="D123" s="8" t="inlineStr">
        <is>
          <t>我有点晕车</t>
        </is>
      </c>
      <c r="E123" s="7" t="inlineStr">
        <is>
          <t>模糊表达→舒适调节</t>
        </is>
      </c>
      <c r="F123" s="7" t="inlineStr">
        <is>
          <t>开窗透气/调风、建议靠边休息，不推食物导航</t>
        </is>
      </c>
      <c r="G123" s="7" t="inlineStr">
        <is>
          <t>理解真实需求并给出合理动作/回答，首响＜1.5s；涉及车控先说明再执行</t>
        </is>
      </c>
      <c r="H123" s="9" t="n"/>
      <c r="I123" s="10" t="n"/>
      <c r="J123" s="10" t="n"/>
      <c r="K123" s="10" t="n"/>
      <c r="L123" s="7" t="inlineStr"/>
    </row>
    <row r="124" ht="30" customHeight="1">
      <c r="A124" s="15" t="inlineStr">
        <is>
          <t>F-15</t>
        </is>
      </c>
      <c r="B124" s="6" t="inlineStr">
        <is>
          <t>F 模糊表达与闲聊问答</t>
        </is>
      </c>
      <c r="C124" s="7" t="inlineStr">
        <is>
          <t>行驶中，主驾</t>
        </is>
      </c>
      <c r="D124" s="8" t="inlineStr">
        <is>
          <t>我想透透气</t>
        </is>
      </c>
      <c r="E124" s="7" t="inlineStr">
        <is>
          <t>模糊表达→开窗/外循环</t>
        </is>
      </c>
      <c r="F124" s="7" t="inlineStr">
        <is>
          <t>开窗或外循环透气，高速时应提醒或改用外循环</t>
        </is>
      </c>
      <c r="G124" s="7" t="inlineStr">
        <is>
          <t>理解真实需求并给出合理动作/回答，首响＜1.5s；涉及车控先说明再执行</t>
        </is>
      </c>
      <c r="H124" s="9" t="n"/>
      <c r="I124" s="10" t="n"/>
      <c r="J124" s="10" t="n"/>
      <c r="K124" s="10" t="n"/>
      <c r="L124" s="7" t="inlineStr"/>
    </row>
  </sheetData>
  <autoFilter ref="A4:L124"/>
  <mergeCells count="3">
    <mergeCell ref="A3:L3"/>
    <mergeCell ref="A2:L2"/>
    <mergeCell ref="A1:L1"/>
  </mergeCells>
  <dataValidations count="3">
    <dataValidation sqref="I5:I124" showDropDown="0" showInputMessage="0" showErrorMessage="0" allowBlank="1" prompt="选择：是/否/部分完成" type="list">
      <formula1>"是,否,部分完成"</formula1>
    </dataValidation>
    <dataValidation sqref="K5:K124" showDropDown="0" showInputMessage="0" showErrorMessage="0" allowBlank="1" prompt="通过填无，失败选归因层" type="list">
      <formula1>"无,ASR,意图理解,LLM推理,工具执行,TTS"</formula1>
    </dataValidation>
    <dataValidation sqref="J5:J124" showDropDown="0" showInputMessage="0" showErrorMessage="0" allowBlank="1" prompt="填首响/响应延迟秒数" type="decimal" operator="greaterThanOrEqual">
      <formula1>0</formula1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42" customWidth="1" min="3" max="3"/>
    <col width="26" customWidth="1" min="4" max="4"/>
  </cols>
  <sheetData>
    <row r="1" ht="26" customHeight="1">
      <c r="A1" s="16" t="inlineStr">
        <is>
          <t>评分说明 — 指标定义、填写说明与自动汇总</t>
        </is>
      </c>
    </row>
    <row r="2" ht="24" customHeight="1">
      <c r="A2" s="17" t="inlineStr">
        <is>
          <t>本表下方的「实测汇总」由公式自动计算总表黄色列，不要手填汇总数字；结果列为空时汇总显示为空，不代表0分。</t>
        </is>
      </c>
    </row>
    <row r="3" ht="26" customHeight="1">
      <c r="A3" s="16" t="inlineStr">
        <is>
          <t>一、指标定义（怎么算）</t>
        </is>
      </c>
    </row>
    <row r="4" ht="22" customHeight="1">
      <c r="A4" s="4" t="inlineStr">
        <is>
          <t>指标</t>
        </is>
      </c>
      <c r="B4" s="4" t="inlineStr">
        <is>
          <t>定义</t>
        </is>
      </c>
      <c r="C4" s="4" t="inlineStr">
        <is>
          <t>计算方法</t>
        </is>
      </c>
      <c r="D4" s="4" t="inlineStr">
        <is>
          <t>本项目自设参考线*</t>
        </is>
      </c>
    </row>
    <row r="5" ht="52" customHeight="1">
      <c r="A5" s="18" t="inlineStr">
        <is>
          <t>字准率</t>
        </is>
      </c>
      <c r="B5" s="19" t="inlineStr">
        <is>
          <t>ASR把语音转成文字的准确程度</t>
        </is>
      </c>
      <c r="C5" s="19" t="inlineStr">
        <is>
          <t>字准率＝1－(替换字+删除字+插入字)÷话术原文字数。逐条把H列识别文本与D列话术原文逐字对比计数，再对全部已测条目汇总计算（需人工/脚本统计，本表不自动算）</t>
        </is>
      </c>
      <c r="D5" s="19" t="inlineStr">
        <is>
          <t>≥95%（安静）／≥90%（噪声E类）</t>
        </is>
      </c>
    </row>
    <row r="6" ht="52" customHeight="1">
      <c r="A6" s="18" t="inlineStr">
        <is>
          <t>意图准确率</t>
        </is>
      </c>
      <c r="B6" s="19" t="inlineStr">
        <is>
          <t>系统理解对用户想做什么的比例</t>
        </is>
      </c>
      <c r="C6" s="19" t="inlineStr">
        <is>
          <t>意图正确条数÷已测条数。判据：识别文本就算有错字，只要意图判断正确仍记正确；是否完成选是/部分完成前先核对意图</t>
        </is>
      </c>
      <c r="D6" s="19" t="inlineStr">
        <is>
          <t>≥90%</t>
        </is>
      </c>
    </row>
    <row r="7" ht="52" customHeight="1">
      <c r="A7" s="18" t="inlineStr">
        <is>
          <t>任务完成率</t>
        </is>
      </c>
      <c r="B7" s="19" t="inlineStr">
        <is>
          <t>意图对且动作真正做对做全的比例</t>
        </is>
      </c>
      <c r="C7" s="19" t="inlineStr">
        <is>
          <t>＝总表 I列填「是」的条数÷已测条数（自动汇总见下方）。多意图C类只要漏一项即不算「是」，记「部分完成」</t>
        </is>
      </c>
      <c r="D7" s="19" t="inlineStr">
        <is>
          <t>≥85%</t>
        </is>
      </c>
    </row>
    <row r="8" ht="52" customHeight="1">
      <c r="A8" s="18" t="inlineStr">
        <is>
          <t>打断成功率</t>
        </is>
      </c>
      <c r="B8" s="19" t="inlineStr">
        <is>
          <t>播报/执行中被打断并正确转到新意图的比例</t>
        </is>
      </c>
      <c r="C8" s="19" t="inlineStr">
        <is>
          <t>只看D类：D类填「是」条数÷D类已测条数（自动汇总见下方）；同时看播报是否在0.5s内停止</t>
        </is>
      </c>
      <c r="D8" s="19" t="inlineStr">
        <is>
          <t>≥85%</t>
        </is>
      </c>
    </row>
    <row r="9" ht="52" customHeight="1">
      <c r="A9" s="18" t="inlineStr">
        <is>
          <t>首响延迟</t>
        </is>
      </c>
      <c r="B9" s="19" t="inlineStr">
        <is>
          <t>用户说完到系统开始回应/执行的等待</t>
        </is>
      </c>
      <c r="C9" s="19" t="inlineStr">
        <is>
          <t>逐条填J列（秒，用手机秒表或录屏数帧）。看平均值与最大值，不能只看平均</t>
        </is>
      </c>
      <c r="D9" s="19" t="inlineStr">
        <is>
          <t>平均＜1.5s，导航/多意图可放宽至＜2s</t>
        </is>
      </c>
    </row>
    <row r="10" ht="52" customHeight="1">
      <c r="A10" s="18" t="inlineStr">
        <is>
          <t>失败归因分布</t>
        </is>
      </c>
      <c r="B10" s="19" t="inlineStr">
        <is>
          <t>失败出在哪一层，决定改哪里</t>
        </is>
      </c>
      <c r="C10" s="19" t="inlineStr">
        <is>
          <t>按K列统计五层各自条数（自动汇总见下方），占比最高的一层就是优先优化项</t>
        </is>
      </c>
      <c r="D10" s="19" t="inlineStr">
        <is>
          <t>无单项长期＞40%</t>
        </is>
      </c>
    </row>
    <row r="11">
      <c r="A11" s="20" t="inlineStr">
        <is>
          <t>*参考线是本项目为对比自设的目标线，不是厂商公布数据；面试时要这样说明，不要说成行业标准。</t>
        </is>
      </c>
    </row>
    <row r="12" ht="26" customHeight="1">
      <c r="A12" s="16" t="inlineStr">
        <is>
          <t>二、记录填写说明（黄色列怎么填）</t>
        </is>
      </c>
    </row>
    <row r="13" ht="22" customHeight="1">
      <c r="A13" s="4" t="inlineStr">
        <is>
          <t>填写列</t>
        </is>
      </c>
      <c r="B13" s="4" t="inlineStr">
        <is>
          <t>填什么</t>
        </is>
      </c>
      <c r="C13" s="4" t="inlineStr">
        <is>
          <t>填写规则</t>
        </is>
      </c>
      <c r="D13" s="4" t="inlineStr">
        <is>
          <t>示例</t>
        </is>
      </c>
    </row>
    <row r="14" ht="40" customHeight="1">
      <c r="A14" s="18" t="inlineStr">
        <is>
          <t>H 识别文本</t>
        </is>
      </c>
      <c r="B14" s="19" t="inlineStr">
        <is>
          <t>系统实际识别出的文字，原样抄录</t>
        </is>
      </c>
      <c r="C14" s="19" t="inlineStr">
        <is>
          <t>错字也照抄，不要自行纠正——这是算字准率的依据</t>
        </is>
      </c>
      <c r="D14" s="19" t="inlineStr">
        <is>
          <t>把「哈尔滨站」识别成「哈尔滨饭店」就照抄后者</t>
        </is>
      </c>
    </row>
    <row r="15" ht="40" customHeight="1">
      <c r="A15" s="18" t="inlineStr">
        <is>
          <t>I 是否完成</t>
        </is>
      </c>
      <c r="B15" s="19" t="inlineStr">
        <is>
          <t>是／否／部分完成（下拉选）</t>
        </is>
      </c>
      <c r="C15" s="19" t="inlineStr">
        <is>
          <t>全做对＝是；做错/没做＝否；多意图漏项或只做一半＝部分完成</t>
        </is>
      </c>
      <c r="D15" s="19" t="inlineStr">
        <is>
          <t>C类4项只做3项→部分完成</t>
        </is>
      </c>
    </row>
    <row r="16" ht="40" customHeight="1">
      <c r="A16" s="18" t="inlineStr">
        <is>
          <t>J 实际延迟（秒）</t>
        </is>
      </c>
      <c r="B16" s="19" t="inlineStr">
        <is>
          <t>首响秒数，填数字</t>
        </is>
      </c>
      <c r="C16" s="19" t="inlineStr">
        <is>
          <t>从说完最后一个字到系统出声/执行开始计时；无法精确计时填录屏估算值并在备注注明</t>
        </is>
      </c>
      <c r="D16" s="19" t="inlineStr">
        <is>
          <t>1.2</t>
        </is>
      </c>
    </row>
    <row r="17" ht="40" customHeight="1">
      <c r="A17" s="18" t="inlineStr">
        <is>
          <t>K 失败归因层</t>
        </is>
      </c>
      <c r="B17" s="19" t="inlineStr">
        <is>
          <t>无／ASR／意图理解／LLM推理／工具执行／TTS（下拉选）</t>
        </is>
      </c>
      <c r="C17" s="19" t="inlineStr">
        <is>
          <t>通过填「无」；失败必选一层：听错字＝ASR，听对但理解错＝意图理解，理解对但规划/回答错＝LLM推理，计划对但车控/导航没执行对＝工具执行，文字对但播报错/不自然＝TTS</t>
        </is>
      </c>
      <c r="D17" s="19" t="inlineStr">
        <is>
          <t>识别成错地点→ASR</t>
        </is>
      </c>
    </row>
    <row r="18" ht="40" customHeight="1">
      <c r="A18" s="18" t="inlineStr">
        <is>
          <t>L 备注</t>
        </is>
      </c>
      <c r="B18" s="19" t="inlineStr">
        <is>
          <t>复现条件与异常现象</t>
        </is>
      </c>
      <c r="C18" s="19" t="inlineStr">
        <is>
          <t>记录车速、音量、说话人、重试次数等H–K装不下的信息</t>
        </is>
      </c>
      <c r="D18" s="19" t="inlineStr">
        <is>
          <t>第2次才成功；开窗状态下测的</t>
        </is>
      </c>
    </row>
    <row r="19" ht="26" customHeight="1">
      <c r="A19" s="16" t="inlineStr">
        <is>
          <t>三、五层失败归因速查</t>
        </is>
      </c>
    </row>
    <row r="20" ht="22" customHeight="1">
      <c r="A20" s="4" t="inlineStr">
        <is>
          <t>归因层</t>
        </is>
      </c>
      <c r="B20" s="4" t="inlineStr">
        <is>
          <t>典型现象</t>
        </is>
      </c>
      <c r="C20" s="4" t="inlineStr">
        <is>
          <t>例子（对应总表）</t>
        </is>
      </c>
      <c r="D20" s="4" t="inlineStr">
        <is>
          <t>优先改法（面试说法)</t>
        </is>
      </c>
    </row>
    <row r="21" ht="40" customHeight="1">
      <c r="A21" s="18" t="inlineStr">
        <is>
          <t>ASR（语音识别）</t>
        </is>
      </c>
      <c r="B21" s="19" t="inlineStr">
        <is>
          <t>错字、漏字、同音词错、噪声下全错</t>
        </is>
      </c>
      <c r="C21" s="19" t="inlineStr">
        <is>
          <t>D-07 哈尔滨站→哈尔滨饭店</t>
        </is>
      </c>
      <c r="D21" s="19" t="inlineStr">
        <is>
          <t>热词/地名纠错词表、降噪与回声消除、方言/口音数据</t>
        </is>
      </c>
    </row>
    <row r="22" ht="40" customHeight="1">
      <c r="A22" s="18" t="inlineStr">
        <is>
          <t>意图理解</t>
        </is>
      </c>
      <c r="B22" s="19" t="inlineStr">
        <is>
          <t>字对但做反/做错对象</t>
        </is>
      </c>
      <c r="C22" s="19" t="inlineStr">
        <is>
          <t>F-04 冷却开冷风、A-07关错座椅</t>
        </is>
      </c>
      <c r="D22" s="19" t="inlineStr">
        <is>
          <t>意图分类与槽位（对象/数值）校验、易混意图样本</t>
        </is>
      </c>
    </row>
    <row r="23" ht="40" customHeight="1">
      <c r="A23" s="18" t="inlineStr">
        <is>
          <t>LLM推理</t>
        </is>
      </c>
      <c r="B23" s="19" t="inlineStr">
        <is>
          <t>理解对但答非所问、编造、不会推理</t>
        </is>
      </c>
      <c r="C23" s="19" t="inlineStr">
        <is>
          <t>F-10 不看续航乱答够不够回家</t>
        </is>
      </c>
      <c r="D23" s="19" t="inlineStr">
        <is>
          <t>先取车辆数据再回答、无数据时说明不知道</t>
        </is>
      </c>
    </row>
    <row r="24" ht="40" customHeight="1">
      <c r="A24" s="18" t="inlineStr">
        <is>
          <t>工具执行</t>
        </is>
      </c>
      <c r="B24" s="19" t="inlineStr">
        <is>
          <t>计划对但导航/车控执行失败或漏项</t>
        </is>
      </c>
      <c r="C24" s="19" t="inlineStr">
        <is>
          <t>C类漏一个子任务、B类选错POI</t>
        </is>
      </c>
      <c r="D24" s="19" t="inlineStr">
        <is>
          <t>执行后逐项校验、多意图清单化执行与确认</t>
        </is>
      </c>
    </row>
    <row r="25" ht="40" customHeight="1">
      <c r="A25" s="18" t="inlineStr">
        <is>
          <t>TTS（语音合成）</t>
        </is>
      </c>
      <c r="B25" s="19" t="inlineStr">
        <is>
          <t>播报读错、多音字错、太长停不下来</t>
        </is>
      </c>
      <c r="C25" s="19" t="inlineStr">
        <is>
          <t>地名读错、D类长播报无法及时打断</t>
        </is>
      </c>
      <c r="D25" s="19" t="inlineStr">
        <is>
          <t>播报分段、多音字词典、支持随时打断(barge-in)</t>
        </is>
      </c>
    </row>
    <row r="26" ht="26" customHeight="1">
      <c r="A26" s="16" t="inlineStr">
        <is>
          <t>四、实测汇总（自动计算，勿手填）</t>
        </is>
      </c>
    </row>
    <row r="27" ht="22" customHeight="1">
      <c r="A27" s="4" t="inlineStr">
        <is>
          <t>统计项</t>
        </is>
      </c>
      <c r="B27" s="4" t="inlineStr">
        <is>
          <t>数值</t>
        </is>
      </c>
      <c r="C27" s="4" t="inlineStr">
        <is>
          <t>统计项</t>
        </is>
      </c>
      <c r="D27" s="4" t="inlineStr">
        <is>
          <t>数值</t>
        </is>
      </c>
    </row>
    <row r="28" ht="22" customHeight="1">
      <c r="A28" s="18" t="inlineStr">
        <is>
          <t>已测条数（I列已填）</t>
        </is>
      </c>
      <c r="B28" s="21" t="n">
        <f>COUNTA('评测用例总表'!I5:I124)</f>
        <v>0</v>
      </c>
      <c r="C28" s="18" t="inlineStr">
        <is>
          <t>任务完成条数（是）</t>
        </is>
      </c>
      <c r="D28" s="21" t="n">
        <f>COUNTIF('评测用例总表'!I5:I124,"是")</f>
        <v>0</v>
      </c>
    </row>
    <row r="29" ht="22" customHeight="1">
      <c r="A29" s="18" t="inlineStr">
        <is>
          <t>任务完成率</t>
        </is>
      </c>
      <c r="B29" s="22" t="str">
        <f>IFERROR(COUNTIF('评测用例总表'!I5:I124,"是")/COUNTA('评测用例总表'!I5:I124),"")</f>
        <v/>
      </c>
      <c r="C29" s="18" t="inlineStr">
        <is>
          <t>部分完成条数</t>
        </is>
      </c>
      <c r="D29" s="21" t="n">
        <f>COUNTIF('评测用例总表'!I5:I124,"部分完成")</f>
        <v>0</v>
      </c>
    </row>
    <row r="30" ht="22" customHeight="1">
      <c r="A30" s="18" t="inlineStr">
        <is>
          <t>打断成功率（仅D类）</t>
        </is>
      </c>
      <c r="B30" s="22" t="str">
        <f>IFERROR(COUNTIFS('评测用例总表'!B5:B124,"D 打断与纠错",'评测用例总表'!I5:I124,"是")/COUNTIFS('评测用例总表'!B5:B124,"D 打断与纠错",'评测用例总表'!I5:I124,"&lt;&gt;"),"")</f>
        <v/>
      </c>
      <c r="C30" s="18" t="inlineStr">
        <is>
          <t>平均延迟（秒）</t>
        </is>
      </c>
      <c r="D30" s="23" t="str">
        <f>IFERROR(AVERAGE('评测用例总表'!J5:J124),"")</f>
        <v/>
      </c>
    </row>
    <row r="31" ht="22" customHeight="1">
      <c r="A31" s="18" t="inlineStr">
        <is>
          <t>A类完成率</t>
        </is>
      </c>
      <c r="B31" s="22" t="str">
        <f>IFERROR(COUNTIFS('评测用例总表'!B5:B124,"A 基础车控",'评测用例总表'!I5:I124,"是")/COUNTIFS('评测用例总表'!B5:B124,"A 基础车控",'评测用例总表'!I5:I124,"&lt;&gt;"),"")</f>
        <v/>
      </c>
      <c r="C31" s="18" t="inlineStr">
        <is>
          <t>B类完成率</t>
        </is>
      </c>
      <c r="D31" s="22" t="str">
        <f>IFERROR(COUNTIFS('评测用例总表'!B5:B124,"B 导航出行",'评测用例总表'!I5:I124,"是")/COUNTIFS('评测用例总表'!B5:B124,"B 导航出行",'评测用例总表'!I5:I124,"&lt;&gt;"),"")</f>
        <v/>
      </c>
    </row>
    <row r="32" ht="22" customHeight="1">
      <c r="A32" s="18" t="inlineStr">
        <is>
          <t>C类完成率</t>
        </is>
      </c>
      <c r="B32" s="22" t="str">
        <f>IFERROR(COUNTIFS('评测用例总表'!B5:B124,"C 多意图组合",'评测用例总表'!I5:I124,"是")/COUNTIFS('评测用例总表'!B5:B124,"C 多意图组合",'评测用例总表'!I5:I124,"&lt;&gt;"),"")</f>
        <v/>
      </c>
      <c r="C32" s="18" t="inlineStr">
        <is>
          <t>E类完成率</t>
        </is>
      </c>
      <c r="D32" s="22" t="str">
        <f>IFERROR(COUNTIFS('评测用例总表'!B5:B124,"E 噪声与复杂环境",'评测用例总表'!I5:I124,"是")/COUNTIFS('评测用例总表'!B5:B124,"E 噪声与复杂环境",'评测用例总表'!I5:I124,"&lt;&gt;"),"")</f>
        <v/>
      </c>
    </row>
    <row r="33" ht="22" customHeight="1">
      <c r="A33" s="18" t="inlineStr">
        <is>
          <t>F类完成率</t>
        </is>
      </c>
      <c r="B33" s="22" t="str">
        <f>IFERROR(COUNTIFS('评测用例总表'!B5:B124,"F 模糊表达与闲聊问答",'评测用例总表'!I5:I124,"是")/COUNTIFS('评测用例总表'!B5:B124,"F 模糊表达与闲聊问答",'评测用例总表'!I5:I124,"&lt;&gt;"),"")</f>
        <v/>
      </c>
      <c r="C33" s="18" t="inlineStr">
        <is>
          <t>失败归因最多层（条数参考）</t>
        </is>
      </c>
      <c r="D33" s="21" t="inlineStr">
        <is>
          <t>见下行各层计数</t>
        </is>
      </c>
    </row>
    <row r="34" ht="22" customHeight="1">
      <c r="A34" s="18" t="inlineStr">
        <is>
          <t>ASR失败条数</t>
        </is>
      </c>
      <c r="B34" s="21" t="n">
        <f>COUNTIF('评测用例总表'!K5:K124,"ASR")</f>
        <v>0</v>
      </c>
      <c r="C34" s="18" t="inlineStr">
        <is>
          <t>意图理解失败条数</t>
        </is>
      </c>
      <c r="D34" s="21" t="n">
        <f>COUNTIF('评测用例总表'!K5:K124,"意图理解")</f>
        <v>0</v>
      </c>
    </row>
    <row r="35" ht="22" customHeight="1">
      <c r="A35" s="18" t="inlineStr">
        <is>
          <t>LLM推理失败条数</t>
        </is>
      </c>
      <c r="B35" s="21" t="n">
        <f>COUNTIF('评测用例总表'!K5:K124,"LLM推理")</f>
        <v>0</v>
      </c>
      <c r="C35" s="18" t="inlineStr">
        <is>
          <t>工具执行失败条数</t>
        </is>
      </c>
      <c r="D35" s="21" t="n">
        <f>COUNTIF('评测用例总表'!K5:K124,"工具执行")</f>
        <v>0</v>
      </c>
    </row>
    <row r="36" ht="22" customHeight="1">
      <c r="A36" s="18" t="inlineStr">
        <is>
          <t>TTS失败条数</t>
        </is>
      </c>
      <c r="B36" s="21" t="n">
        <f>COUNTIF('评测用例总表'!K5:K124,"TTS")</f>
        <v>0</v>
      </c>
      <c r="C36" s="18" t="inlineStr">
        <is>
          <t>使用提示</t>
        </is>
      </c>
      <c r="D36" s="21" t="inlineStr">
        <is>
          <t>填完一批就看本表，先攻占比最高的归因层</t>
        </is>
      </c>
    </row>
    <row r="37" ht="26" customHeight="1">
      <c r="A37" s="24" t="inlineStr">
        <is>
          <t>实测建议顺序：先在安静停车状态测A/B/F → 再测C/D → 最后按标注环境测E；同一被测产品全程不要换版本，换版本要在备注里写明。</t>
        </is>
      </c>
    </row>
  </sheetData>
  <mergeCells count="8">
    <mergeCell ref="A1:D1"/>
    <mergeCell ref="A37:D37"/>
    <mergeCell ref="A12:D12"/>
    <mergeCell ref="A3:D3"/>
    <mergeCell ref="A26:D26"/>
    <mergeCell ref="A2:D2"/>
    <mergeCell ref="A11:D11"/>
    <mergeCell ref="A19:D19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DriveVoice 项目</dc:creator>
  <dc:title xmlns:dc="http://purl.org/dc/elements/1.1/">DriveVoice 120条车载语音评测用例集</dc:title>
  <dcterms:created xmlns:dcterms="http://purl.org/dc/terms/" xmlns:xsi="http://www.w3.org/2001/XMLSchema-instance" xsi:type="dcterms:W3CDTF">2026-10-26T06:01:50+00:00Z</dcterms:created>
  <dcterms:modified xmlns:dcterms="http://purl.org/dc/terms/" xmlns:xsi="http://www.w3.org/2001/XMLSchema-instance" xsi:type="dcterms:W3CDTF">2026-10-26T06:01:50+00:00Z</dcterms:modified>
</cp:coreProperties>
</file>